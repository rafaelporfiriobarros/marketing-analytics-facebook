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p\Documents\marketing-analytics-facebook\data\"/>
    </mc:Choice>
  </mc:AlternateContent>
  <xr:revisionPtr revIDLastSave="0" documentId="13_ncr:1_{1EE3DC20-4491-46CE-8965-246DC4405D63}" xr6:coauthVersionLast="47" xr6:coauthVersionMax="47" xr10:uidLastSave="{00000000-0000-0000-0000-000000000000}"/>
  <bookViews>
    <workbookView xWindow="19215" yWindow="165" windowWidth="18795" windowHeight="15180" firstSheet="1" activeTab="1" xr2:uid="{00000000-000D-0000-FFFF-FFFF00000000}"/>
  </bookViews>
  <sheets>
    <sheet name="Metadados" sheetId="10" r:id="rId1"/>
    <sheet name="Planilha4" sheetId="14" r:id="rId2"/>
    <sheet name="dados_da_campanha" sheetId="1" r:id="rId3"/>
    <sheet name="depara_categoria" sheetId="4" state="hidden" r:id="rId4"/>
    <sheet name="Planilha8" sheetId="9" state="hidden" r:id="rId5"/>
  </sheets>
  <definedNames>
    <definedName name="_xlnm._FilterDatabase" localSheetId="2" hidden="1">dados_da_campanha!$A$1:$I$1144</definedName>
  </definedNames>
  <calcPr calcId="191029"/>
  <pivotCaches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10" i="1" l="1"/>
  <c r="L562" i="1"/>
  <c r="L906" i="1"/>
  <c r="L709" i="1"/>
  <c r="L563" i="1"/>
  <c r="L907" i="1"/>
  <c r="L710" i="1"/>
  <c r="L564" i="1"/>
  <c r="L711" i="1"/>
  <c r="L712" i="1"/>
  <c r="L908" i="1"/>
  <c r="L909" i="1"/>
  <c r="L910" i="1"/>
  <c r="L911" i="1"/>
  <c r="L565" i="1"/>
  <c r="L912" i="1"/>
  <c r="L713" i="1"/>
  <c r="L913" i="1"/>
  <c r="L714" i="1"/>
  <c r="L511" i="1"/>
  <c r="L914" i="1"/>
  <c r="L715" i="1"/>
  <c r="L716" i="1"/>
  <c r="L566" i="1"/>
  <c r="L915" i="1"/>
  <c r="L916" i="1"/>
  <c r="L567" i="1"/>
  <c r="L717" i="1"/>
  <c r="L568" i="1"/>
  <c r="L917" i="1"/>
  <c r="L918" i="1"/>
  <c r="L569" i="1"/>
  <c r="L718" i="1"/>
  <c r="L719" i="1"/>
  <c r="L570" i="1"/>
  <c r="L919" i="1"/>
  <c r="L571" i="1"/>
  <c r="L572" i="1"/>
  <c r="L720" i="1"/>
  <c r="L721" i="1"/>
  <c r="L920" i="1"/>
  <c r="L921" i="1"/>
  <c r="L722" i="1"/>
  <c r="L573" i="1"/>
  <c r="L922" i="1"/>
  <c r="L723" i="1"/>
  <c r="L724" i="1"/>
  <c r="L574" i="1"/>
  <c r="L725" i="1"/>
  <c r="L512" i="1"/>
  <c r="L575" i="1"/>
  <c r="L923" i="1"/>
  <c r="L726" i="1"/>
  <c r="L924" i="1"/>
  <c r="L925" i="1"/>
  <c r="L576" i="1"/>
  <c r="L727" i="1"/>
  <c r="L926" i="1"/>
  <c r="L927" i="1"/>
  <c r="L928" i="1"/>
  <c r="L484" i="1"/>
  <c r="L929" i="1"/>
  <c r="L930" i="1"/>
  <c r="L577" i="1"/>
  <c r="L578" i="1"/>
  <c r="L579" i="1"/>
  <c r="L931" i="1"/>
  <c r="L932" i="1"/>
  <c r="L728" i="1"/>
  <c r="L729" i="1"/>
  <c r="L730" i="1"/>
  <c r="L580" i="1"/>
  <c r="L933" i="1"/>
  <c r="L934" i="1"/>
  <c r="L935" i="1"/>
  <c r="L731" i="1"/>
  <c r="L936" i="1"/>
  <c r="L581" i="1"/>
  <c r="L937" i="1"/>
  <c r="L582" i="1"/>
  <c r="L938" i="1"/>
  <c r="L939" i="1"/>
  <c r="L732" i="1"/>
  <c r="L437" i="1"/>
  <c r="L583" i="1"/>
  <c r="L733" i="1"/>
  <c r="L584" i="1"/>
  <c r="L940" i="1"/>
  <c r="L585" i="1"/>
  <c r="L586" i="1"/>
  <c r="L438" i="1"/>
  <c r="L587" i="1"/>
  <c r="L734" i="1"/>
  <c r="L588" i="1"/>
  <c r="L941" i="1"/>
  <c r="L942" i="1"/>
  <c r="L943" i="1"/>
  <c r="L944" i="1"/>
  <c r="L945" i="1"/>
  <c r="L946" i="1"/>
  <c r="L735" i="1"/>
  <c r="L736" i="1"/>
  <c r="L947" i="1"/>
  <c r="L737" i="1"/>
  <c r="L738" i="1"/>
  <c r="L739" i="1"/>
  <c r="L740" i="1"/>
  <c r="L948" i="1"/>
  <c r="L741" i="1"/>
  <c r="L589" i="1"/>
  <c r="L742" i="1"/>
  <c r="L513" i="1"/>
  <c r="L743" i="1"/>
  <c r="L949" i="1"/>
  <c r="L950" i="1"/>
  <c r="L951" i="1"/>
  <c r="L744" i="1"/>
  <c r="L952" i="1"/>
  <c r="L953" i="1"/>
  <c r="L954" i="1"/>
  <c r="L745" i="1"/>
  <c r="L746" i="1"/>
  <c r="L955" i="1"/>
  <c r="L590" i="1"/>
  <c r="L747" i="1"/>
  <c r="L591" i="1"/>
  <c r="L748" i="1"/>
  <c r="L956" i="1"/>
  <c r="L957" i="1"/>
  <c r="L749" i="1"/>
  <c r="L750" i="1"/>
  <c r="L958" i="1"/>
  <c r="L959" i="1"/>
  <c r="L592" i="1"/>
  <c r="L960" i="1"/>
  <c r="L961" i="1"/>
  <c r="L593" i="1"/>
  <c r="L594" i="1"/>
  <c r="L514" i="1"/>
  <c r="L485" i="1"/>
  <c r="L595" i="1"/>
  <c r="L596" i="1"/>
  <c r="L962" i="1"/>
  <c r="L963" i="1"/>
  <c r="L964" i="1"/>
  <c r="L597" i="1"/>
  <c r="L456" i="1"/>
  <c r="L515" i="1"/>
  <c r="L598" i="1"/>
  <c r="L965" i="1"/>
  <c r="L751" i="1"/>
  <c r="L439" i="1"/>
  <c r="L752" i="1"/>
  <c r="L966" i="1"/>
  <c r="L967" i="1"/>
  <c r="L753" i="1"/>
  <c r="L599" i="1"/>
  <c r="L968" i="1"/>
  <c r="L969" i="1"/>
  <c r="L600" i="1"/>
  <c r="L601" i="1"/>
  <c r="L970" i="1"/>
  <c r="L602" i="1"/>
  <c r="L971" i="1"/>
  <c r="L972" i="1"/>
  <c r="L603" i="1"/>
  <c r="L604" i="1"/>
  <c r="L605" i="1"/>
  <c r="L754" i="1"/>
  <c r="L973" i="1"/>
  <c r="L974" i="1"/>
  <c r="L975" i="1"/>
  <c r="L976" i="1"/>
  <c r="L606" i="1"/>
  <c r="L607" i="1"/>
  <c r="L755" i="1"/>
  <c r="L977" i="1"/>
  <c r="L756" i="1"/>
  <c r="L757" i="1"/>
  <c r="L758" i="1"/>
  <c r="L978" i="1"/>
  <c r="L979" i="1"/>
  <c r="L980" i="1"/>
  <c r="L981" i="1"/>
  <c r="L982" i="1"/>
  <c r="L759" i="1"/>
  <c r="L760" i="1"/>
  <c r="L608" i="1"/>
  <c r="L761" i="1"/>
  <c r="L983" i="1"/>
  <c r="L762" i="1"/>
  <c r="L609" i="1"/>
  <c r="L763" i="1"/>
  <c r="L610" i="1"/>
  <c r="L764" i="1"/>
  <c r="L457" i="1"/>
  <c r="L765" i="1"/>
  <c r="L766" i="1"/>
  <c r="L516" i="1"/>
  <c r="L517" i="1"/>
  <c r="L767" i="1"/>
  <c r="L768" i="1"/>
  <c r="L611" i="1"/>
  <c r="L984" i="1"/>
  <c r="L985" i="1"/>
  <c r="L769" i="1"/>
  <c r="L612" i="1"/>
  <c r="L770" i="1"/>
  <c r="L771" i="1"/>
  <c r="L772" i="1"/>
  <c r="L773" i="1"/>
  <c r="L774" i="1"/>
  <c r="L518" i="1"/>
  <c r="L986" i="1"/>
  <c r="L775" i="1"/>
  <c r="L613" i="1"/>
  <c r="L987" i="1"/>
  <c r="L614" i="1"/>
  <c r="L615" i="1"/>
  <c r="L616" i="1"/>
  <c r="L776" i="1"/>
  <c r="L988" i="1"/>
  <c r="L989" i="1"/>
  <c r="L777" i="1"/>
  <c r="L990" i="1"/>
  <c r="L617" i="1"/>
  <c r="L778" i="1"/>
  <c r="L618" i="1"/>
  <c r="L779" i="1"/>
  <c r="L780" i="1"/>
  <c r="L781" i="1"/>
  <c r="L782" i="1"/>
  <c r="L783" i="1"/>
  <c r="L991" i="1"/>
  <c r="L784" i="1"/>
  <c r="L992" i="1"/>
  <c r="L785" i="1"/>
  <c r="L619" i="1"/>
  <c r="L786" i="1"/>
  <c r="L519" i="1"/>
  <c r="L520" i="1"/>
  <c r="L993" i="1"/>
  <c r="L787" i="1"/>
  <c r="L788" i="1"/>
  <c r="L620" i="1"/>
  <c r="L621" i="1"/>
  <c r="L994" i="1"/>
  <c r="L789" i="1"/>
  <c r="L995" i="1"/>
  <c r="L622" i="1"/>
  <c r="L996" i="1"/>
  <c r="L521" i="1"/>
  <c r="L623" i="1"/>
  <c r="L997" i="1"/>
  <c r="L790" i="1"/>
  <c r="L791" i="1"/>
  <c r="L998" i="1"/>
  <c r="L624" i="1"/>
  <c r="L792" i="1"/>
  <c r="L793" i="1"/>
  <c r="L794" i="1"/>
  <c r="L795" i="1"/>
  <c r="L796" i="1"/>
  <c r="L797" i="1"/>
  <c r="L798" i="1"/>
  <c r="L625" i="1"/>
  <c r="L999" i="1"/>
  <c r="L626" i="1"/>
  <c r="L1000" i="1"/>
  <c r="L1001" i="1"/>
  <c r="L1002" i="1"/>
  <c r="L627" i="1"/>
  <c r="L799" i="1"/>
  <c r="L1003" i="1"/>
  <c r="L1004" i="1"/>
  <c r="L628" i="1"/>
  <c r="L800" i="1"/>
  <c r="L629" i="1"/>
  <c r="L801" i="1"/>
  <c r="L630" i="1"/>
  <c r="L631" i="1"/>
  <c r="L1005" i="1"/>
  <c r="L632" i="1"/>
  <c r="L802" i="1"/>
  <c r="L522" i="1"/>
  <c r="L633" i="1"/>
  <c r="L1006" i="1"/>
  <c r="L803" i="1"/>
  <c r="L1007" i="1"/>
  <c r="L634" i="1"/>
  <c r="L635" i="1"/>
  <c r="L523" i="1"/>
  <c r="L1008" i="1"/>
  <c r="L804" i="1"/>
  <c r="L1009" i="1"/>
  <c r="L1010" i="1"/>
  <c r="L805" i="1"/>
  <c r="L636" i="1"/>
  <c r="L637" i="1"/>
  <c r="L806" i="1"/>
  <c r="L638" i="1"/>
  <c r="L1011" i="1"/>
  <c r="L1012" i="1"/>
  <c r="L1013" i="1"/>
  <c r="L807" i="1"/>
  <c r="L524" i="1"/>
  <c r="L1014" i="1"/>
  <c r="L808" i="1"/>
  <c r="L809" i="1"/>
  <c r="L810" i="1"/>
  <c r="L811" i="1"/>
  <c r="L639" i="1"/>
  <c r="L1015" i="1"/>
  <c r="L812" i="1"/>
  <c r="L1016" i="1"/>
  <c r="L640" i="1"/>
  <c r="L1017" i="1"/>
  <c r="L813" i="1"/>
  <c r="L641" i="1"/>
  <c r="L1018" i="1"/>
  <c r="L1019" i="1"/>
  <c r="L642" i="1"/>
  <c r="L814" i="1"/>
  <c r="L643" i="1"/>
  <c r="L815" i="1"/>
  <c r="L644" i="1"/>
  <c r="L1020" i="1"/>
  <c r="L816" i="1"/>
  <c r="L1021" i="1"/>
  <c r="L817" i="1"/>
  <c r="L818" i="1"/>
  <c r="L819" i="1"/>
  <c r="L1022" i="1"/>
  <c r="L820" i="1"/>
  <c r="L1023" i="1"/>
  <c r="L645" i="1"/>
  <c r="L646" i="1"/>
  <c r="L821" i="1"/>
  <c r="L525" i="1"/>
  <c r="L822" i="1"/>
  <c r="L823" i="1"/>
  <c r="L824" i="1"/>
  <c r="L825" i="1"/>
  <c r="L1024" i="1"/>
  <c r="L647" i="1"/>
  <c r="L826" i="1"/>
  <c r="L648" i="1"/>
  <c r="L827" i="1"/>
  <c r="L649" i="1"/>
  <c r="L1025" i="1"/>
  <c r="L828" i="1"/>
  <c r="L1026" i="1"/>
  <c r="L1027" i="1"/>
  <c r="L650" i="1"/>
  <c r="L1028" i="1"/>
  <c r="L526" i="1"/>
  <c r="L829" i="1"/>
  <c r="L1029" i="1"/>
  <c r="L830" i="1"/>
  <c r="L527" i="1"/>
  <c r="L1030" i="1"/>
  <c r="L651" i="1"/>
  <c r="L652" i="1"/>
  <c r="L1031" i="1"/>
  <c r="L1032" i="1"/>
  <c r="L1033" i="1"/>
  <c r="L1034" i="1"/>
  <c r="L1035" i="1"/>
  <c r="L831" i="1"/>
  <c r="L832" i="1"/>
  <c r="L653" i="1"/>
  <c r="L833" i="1"/>
  <c r="L654" i="1"/>
  <c r="L655" i="1"/>
  <c r="L834" i="1"/>
  <c r="L656" i="1"/>
  <c r="L835" i="1"/>
  <c r="L836" i="1"/>
  <c r="L837" i="1"/>
  <c r="L838" i="1"/>
  <c r="L839" i="1"/>
  <c r="L840" i="1"/>
  <c r="L841" i="1"/>
  <c r="L1036" i="1"/>
  <c r="L842" i="1"/>
  <c r="L843" i="1"/>
  <c r="L528" i="1"/>
  <c r="L657" i="1"/>
  <c r="L844" i="1"/>
  <c r="L1037" i="1"/>
  <c r="L1038" i="1"/>
  <c r="L845" i="1"/>
  <c r="L846" i="1"/>
  <c r="L1039" i="1"/>
  <c r="L1040" i="1"/>
  <c r="L847" i="1"/>
  <c r="L848" i="1"/>
  <c r="L658" i="1"/>
  <c r="L659" i="1"/>
  <c r="L660" i="1"/>
  <c r="L1041" i="1"/>
  <c r="L1042" i="1"/>
  <c r="L849" i="1"/>
  <c r="L1043" i="1"/>
  <c r="L850" i="1"/>
  <c r="L661" i="1"/>
  <c r="L662" i="1"/>
  <c r="L851" i="1"/>
  <c r="L1044" i="1"/>
  <c r="L663" i="1"/>
  <c r="L529" i="1"/>
  <c r="L1045" i="1"/>
  <c r="L1046" i="1"/>
  <c r="L1047" i="1"/>
  <c r="L664" i="1"/>
  <c r="L852" i="1"/>
  <c r="L853" i="1"/>
  <c r="L665" i="1"/>
  <c r="L854" i="1"/>
  <c r="L1048" i="1"/>
  <c r="L855" i="1"/>
  <c r="L1049" i="1"/>
  <c r="L856" i="1"/>
  <c r="L1050" i="1"/>
  <c r="L486" i="1"/>
  <c r="L1051" i="1"/>
  <c r="L857" i="1"/>
  <c r="L858" i="1"/>
  <c r="L859" i="1"/>
  <c r="L666" i="1"/>
  <c r="L860" i="1"/>
  <c r="L530" i="1"/>
  <c r="L1052" i="1"/>
  <c r="L1053" i="1"/>
  <c r="L1054" i="1"/>
  <c r="L1055" i="1"/>
  <c r="L1056" i="1"/>
  <c r="L1057" i="1"/>
  <c r="L861" i="1"/>
  <c r="L1058" i="1"/>
  <c r="L667" i="1"/>
  <c r="L668" i="1"/>
  <c r="L1059" i="1"/>
  <c r="L862" i="1"/>
  <c r="L1060" i="1"/>
  <c r="L863" i="1"/>
  <c r="L1061" i="1"/>
  <c r="L1062" i="1"/>
  <c r="L864" i="1"/>
  <c r="L1063" i="1"/>
  <c r="L1064" i="1"/>
  <c r="L1065" i="1"/>
  <c r="L1066" i="1"/>
  <c r="L1067" i="1"/>
  <c r="L1068" i="1"/>
  <c r="L1069" i="1"/>
  <c r="L1070" i="1"/>
  <c r="L1071" i="1"/>
  <c r="L487" i="1"/>
  <c r="L1072" i="1"/>
  <c r="L1073" i="1"/>
  <c r="L865" i="1"/>
  <c r="L1074" i="1"/>
  <c r="L1075" i="1"/>
  <c r="L1076" i="1"/>
  <c r="L669" i="1"/>
  <c r="L1077" i="1"/>
  <c r="L1078" i="1"/>
  <c r="L866" i="1"/>
  <c r="L1079" i="1"/>
  <c r="L1080" i="1"/>
  <c r="L1081" i="1"/>
  <c r="L458" i="1"/>
  <c r="L1082" i="1"/>
  <c r="L670" i="1"/>
  <c r="L671" i="1"/>
  <c r="L531" i="1"/>
  <c r="L672" i="1"/>
  <c r="L1083" i="1"/>
  <c r="L673" i="1"/>
  <c r="L532" i="1"/>
  <c r="L1084" i="1"/>
  <c r="L1085" i="1"/>
  <c r="L867" i="1"/>
  <c r="L488" i="1"/>
  <c r="L868" i="1"/>
  <c r="L674" i="1"/>
  <c r="L1086" i="1"/>
  <c r="L1087" i="1"/>
  <c r="L1088" i="1"/>
  <c r="L869" i="1"/>
  <c r="L1089" i="1"/>
  <c r="L675" i="1"/>
  <c r="L870" i="1"/>
  <c r="L871" i="1"/>
  <c r="L1090" i="1"/>
  <c r="L1091" i="1"/>
  <c r="L1092" i="1"/>
  <c r="L1093" i="1"/>
  <c r="L872" i="1"/>
  <c r="L1094" i="1"/>
  <c r="L873" i="1"/>
  <c r="L1095" i="1"/>
  <c r="L874" i="1"/>
  <c r="L875" i="1"/>
  <c r="L876" i="1"/>
  <c r="L1096" i="1"/>
  <c r="L1097" i="1"/>
  <c r="L676" i="1"/>
  <c r="L677" i="1"/>
  <c r="L1098" i="1"/>
  <c r="L1099" i="1"/>
  <c r="L678" i="1"/>
  <c r="L679" i="1"/>
  <c r="L877" i="1"/>
  <c r="L680" i="1"/>
  <c r="L1100" i="1"/>
  <c r="L1101" i="1"/>
  <c r="L4" i="1"/>
  <c r="L27" i="1"/>
  <c r="L1102" i="1"/>
  <c r="L74" i="1"/>
  <c r="L37" i="1"/>
  <c r="L317" i="1"/>
  <c r="L9" i="1"/>
  <c r="L2" i="1"/>
  <c r="L189" i="1"/>
  <c r="L51" i="1"/>
  <c r="L3" i="1"/>
  <c r="L75" i="1"/>
  <c r="L248" i="1"/>
  <c r="L6" i="1"/>
  <c r="L76" i="1"/>
  <c r="L100" i="1"/>
  <c r="L46" i="1"/>
  <c r="L318" i="1"/>
  <c r="L190" i="1"/>
  <c r="L41" i="1"/>
  <c r="L249" i="1"/>
  <c r="L58" i="1"/>
  <c r="L101" i="1"/>
  <c r="L191" i="1"/>
  <c r="L151" i="1"/>
  <c r="L192" i="1"/>
  <c r="L13" i="1"/>
  <c r="L250" i="1"/>
  <c r="L251" i="1"/>
  <c r="L152" i="1"/>
  <c r="L193" i="1"/>
  <c r="L153" i="1"/>
  <c r="L102" i="1"/>
  <c r="L319" i="1"/>
  <c r="L396" i="1"/>
  <c r="L320" i="1"/>
  <c r="L77" i="1"/>
  <c r="L321" i="1"/>
  <c r="L252" i="1"/>
  <c r="L78" i="1"/>
  <c r="L322" i="1"/>
  <c r="L103" i="1"/>
  <c r="L47" i="1"/>
  <c r="L14" i="1"/>
  <c r="L323" i="1"/>
  <c r="L324" i="1"/>
  <c r="L194" i="1"/>
  <c r="L325" i="1"/>
  <c r="L154" i="1"/>
  <c r="L195" i="1"/>
  <c r="L17" i="1"/>
  <c r="L123" i="1"/>
  <c r="L326" i="1"/>
  <c r="L66" i="1"/>
  <c r="L253" i="1"/>
  <c r="L327" i="1"/>
  <c r="L7" i="1"/>
  <c r="L31" i="1"/>
  <c r="L32" i="1"/>
  <c r="L10" i="1"/>
  <c r="L124" i="1"/>
  <c r="L8" i="1"/>
  <c r="L42" i="1"/>
  <c r="L397" i="1"/>
  <c r="L196" i="1"/>
  <c r="L398" i="1"/>
  <c r="L59" i="1"/>
  <c r="L104" i="1"/>
  <c r="L328" i="1"/>
  <c r="L1103" i="1"/>
  <c r="L155" i="1"/>
  <c r="L254" i="1"/>
  <c r="L329" i="1"/>
  <c r="L125" i="1"/>
  <c r="L330" i="1"/>
  <c r="L255" i="1"/>
  <c r="L197" i="1"/>
  <c r="L331" i="1"/>
  <c r="L156" i="1"/>
  <c r="L126" i="1"/>
  <c r="L256" i="1"/>
  <c r="L1104" i="1"/>
  <c r="L127" i="1"/>
  <c r="L332" i="1"/>
  <c r="L333" i="1"/>
  <c r="L60" i="1"/>
  <c r="L157" i="1"/>
  <c r="L334" i="1"/>
  <c r="L335" i="1"/>
  <c r="L158" i="1"/>
  <c r="L1105" i="1"/>
  <c r="L67" i="1"/>
  <c r="L198" i="1"/>
  <c r="L61" i="1"/>
  <c r="L199" i="1"/>
  <c r="L11" i="1"/>
  <c r="L68" i="1"/>
  <c r="L128" i="1"/>
  <c r="L399" i="1"/>
  <c r="L336" i="1"/>
  <c r="L1106" i="1"/>
  <c r="L159" i="1"/>
  <c r="L337" i="1"/>
  <c r="L33" i="1"/>
  <c r="L338" i="1"/>
  <c r="L52" i="1"/>
  <c r="L160" i="1"/>
  <c r="L200" i="1"/>
  <c r="L201" i="1"/>
  <c r="L79" i="1"/>
  <c r="L21" i="1"/>
  <c r="L257" i="1"/>
  <c r="L258" i="1"/>
  <c r="L161" i="1"/>
  <c r="L105" i="1"/>
  <c r="L339" i="1"/>
  <c r="L259" i="1"/>
  <c r="L53" i="1"/>
  <c r="L260" i="1"/>
  <c r="L69" i="1"/>
  <c r="L162" i="1"/>
  <c r="L106" i="1"/>
  <c r="L163" i="1"/>
  <c r="L340" i="1"/>
  <c r="L261" i="1"/>
  <c r="L262" i="1"/>
  <c r="L202" i="1"/>
  <c r="L80" i="1"/>
  <c r="L341" i="1"/>
  <c r="L342" i="1"/>
  <c r="L263" i="1"/>
  <c r="L343" i="1"/>
  <c r="L344" i="1"/>
  <c r="L129" i="1"/>
  <c r="L345" i="1"/>
  <c r="L346" i="1"/>
  <c r="L203" i="1"/>
  <c r="L419" i="1"/>
  <c r="L264" i="1"/>
  <c r="L265" i="1"/>
  <c r="L1107" i="1"/>
  <c r="L48" i="1"/>
  <c r="L204" i="1"/>
  <c r="L205" i="1"/>
  <c r="L25" i="1"/>
  <c r="L347" i="1"/>
  <c r="L130" i="1"/>
  <c r="L164" i="1"/>
  <c r="L206" i="1"/>
  <c r="L49" i="1"/>
  <c r="L70" i="1"/>
  <c r="L1108" i="1"/>
  <c r="L81" i="1"/>
  <c r="L34" i="1"/>
  <c r="L348" i="1"/>
  <c r="L165" i="1"/>
  <c r="L207" i="1"/>
  <c r="L349" i="1"/>
  <c r="L82" i="1"/>
  <c r="L62" i="1"/>
  <c r="L131" i="1"/>
  <c r="L266" i="1"/>
  <c r="L166" i="1"/>
  <c r="L132" i="1"/>
  <c r="L208" i="1"/>
  <c r="L267" i="1"/>
  <c r="L209" i="1"/>
  <c r="L210" i="1"/>
  <c r="L268" i="1"/>
  <c r="L269" i="1"/>
  <c r="L54" i="1"/>
  <c r="L83" i="1"/>
  <c r="L211" i="1"/>
  <c r="L350" i="1"/>
  <c r="L212" i="1"/>
  <c r="L213" i="1"/>
  <c r="L270" i="1"/>
  <c r="L271" i="1"/>
  <c r="L400" i="1"/>
  <c r="L214" i="1"/>
  <c r="L272" i="1"/>
  <c r="L84" i="1"/>
  <c r="L167" i="1"/>
  <c r="L215" i="1"/>
  <c r="L133" i="1"/>
  <c r="L107" i="1"/>
  <c r="L273" i="1"/>
  <c r="L38" i="1"/>
  <c r="L22" i="1"/>
  <c r="L85" i="1"/>
  <c r="L274" i="1"/>
  <c r="L134" i="1"/>
  <c r="L351" i="1"/>
  <c r="L71" i="1"/>
  <c r="L168" i="1"/>
  <c r="L275" i="1"/>
  <c r="L63" i="1"/>
  <c r="L169" i="1"/>
  <c r="L276" i="1"/>
  <c r="L86" i="1"/>
  <c r="L170" i="1"/>
  <c r="L1109" i="1"/>
  <c r="L277" i="1"/>
  <c r="L352" i="1"/>
  <c r="L353" i="1"/>
  <c r="L278" i="1"/>
  <c r="L354" i="1"/>
  <c r="L355" i="1"/>
  <c r="L356" i="1"/>
  <c r="L279" i="1"/>
  <c r="L280" i="1"/>
  <c r="L401" i="1"/>
  <c r="L171" i="1"/>
  <c r="L357" i="1"/>
  <c r="L172" i="1"/>
  <c r="L173" i="1"/>
  <c r="L358" i="1"/>
  <c r="L135" i="1"/>
  <c r="L136" i="1"/>
  <c r="L216" i="1"/>
  <c r="L217" i="1"/>
  <c r="L218" i="1"/>
  <c r="L281" i="1"/>
  <c r="L359" i="1"/>
  <c r="L108" i="1"/>
  <c r="L219" i="1"/>
  <c r="L402" i="1"/>
  <c r="L403" i="1"/>
  <c r="L220" i="1"/>
  <c r="L282" i="1"/>
  <c r="L283" i="1"/>
  <c r="L360" i="1"/>
  <c r="L221" i="1"/>
  <c r="L222" i="1"/>
  <c r="L361" i="1"/>
  <c r="L284" i="1"/>
  <c r="L285" i="1"/>
  <c r="L286" i="1"/>
  <c r="L362" i="1"/>
  <c r="L174" i="1"/>
  <c r="L223" i="1"/>
  <c r="L109" i="1"/>
  <c r="L29" i="1"/>
  <c r="L137" i="1"/>
  <c r="L224" i="1"/>
  <c r="L225" i="1"/>
  <c r="L287" i="1"/>
  <c r="L23" i="1"/>
  <c r="L87" i="1"/>
  <c r="L175" i="1"/>
  <c r="L55" i="1"/>
  <c r="L64" i="1"/>
  <c r="L288" i="1"/>
  <c r="L363" i="1"/>
  <c r="L72" i="1"/>
  <c r="L88" i="1"/>
  <c r="L138" i="1"/>
  <c r="L289" i="1"/>
  <c r="L364" i="1"/>
  <c r="L290" i="1"/>
  <c r="L176" i="1"/>
  <c r="L291" i="1"/>
  <c r="L292" i="1"/>
  <c r="L365" i="1"/>
  <c r="L293" i="1"/>
  <c r="L366" i="1"/>
  <c r="L367" i="1"/>
  <c r="L368" i="1"/>
  <c r="L404" i="1"/>
  <c r="L369" i="1"/>
  <c r="L370" i="1"/>
  <c r="L89" i="1"/>
  <c r="L294" i="1"/>
  <c r="L226" i="1"/>
  <c r="L371" i="1"/>
  <c r="L227" i="1"/>
  <c r="L228" i="1"/>
  <c r="L372" i="1"/>
  <c r="L295" i="1"/>
  <c r="L296" i="1"/>
  <c r="L229" i="1"/>
  <c r="L110" i="1"/>
  <c r="L373" i="1"/>
  <c r="L374" i="1"/>
  <c r="L230" i="1"/>
  <c r="L111" i="1"/>
  <c r="L297" i="1"/>
  <c r="L177" i="1"/>
  <c r="L18" i="1"/>
  <c r="L15" i="1"/>
  <c r="L375" i="1"/>
  <c r="L298" i="1"/>
  <c r="L231" i="1"/>
  <c r="L299" i="1"/>
  <c r="L178" i="1"/>
  <c r="L139" i="1"/>
  <c r="L90" i="1"/>
  <c r="L300" i="1"/>
  <c r="L301" i="1"/>
  <c r="L302" i="1"/>
  <c r="L405" i="1"/>
  <c r="L406" i="1"/>
  <c r="L232" i="1"/>
  <c r="L376" i="1"/>
  <c r="L377" i="1"/>
  <c r="L378" i="1"/>
  <c r="L379" i="1"/>
  <c r="L140" i="1"/>
  <c r="L878" i="1"/>
  <c r="L24" i="1"/>
  <c r="L420" i="1"/>
  <c r="L459" i="1"/>
  <c r="L112" i="1"/>
  <c r="L533" i="1"/>
  <c r="L303" i="1"/>
  <c r="L440" i="1"/>
  <c r="L441" i="1"/>
  <c r="L681" i="1"/>
  <c r="L489" i="1"/>
  <c r="L879" i="1"/>
  <c r="L1110" i="1"/>
  <c r="L1111" i="1"/>
  <c r="L490" i="1"/>
  <c r="L304" i="1"/>
  <c r="L460" i="1"/>
  <c r="L421" i="1"/>
  <c r="L91" i="1"/>
  <c r="L442" i="1"/>
  <c r="L422" i="1"/>
  <c r="L113" i="1"/>
  <c r="L443" i="1"/>
  <c r="L534" i="1"/>
  <c r="L461" i="1"/>
  <c r="L1112" i="1"/>
  <c r="L682" i="1"/>
  <c r="L491" i="1"/>
  <c r="L444" i="1"/>
  <c r="L1113" i="1"/>
  <c r="L683" i="1"/>
  <c r="L462" i="1"/>
  <c r="L463" i="1"/>
  <c r="L30" i="1"/>
  <c r="L5" i="1"/>
  <c r="L492" i="1"/>
  <c r="L305" i="1"/>
  <c r="L114" i="1"/>
  <c r="L1114" i="1"/>
  <c r="L179" i="1"/>
  <c r="L684" i="1"/>
  <c r="L19" i="1"/>
  <c r="L445" i="1"/>
  <c r="L1115" i="1"/>
  <c r="L56" i="1"/>
  <c r="L1116" i="1"/>
  <c r="L1117" i="1"/>
  <c r="L685" i="1"/>
  <c r="L880" i="1"/>
  <c r="L881" i="1"/>
  <c r="L141" i="1"/>
  <c r="L464" i="1"/>
  <c r="L1118" i="1"/>
  <c r="L92" i="1"/>
  <c r="L1119" i="1"/>
  <c r="L493" i="1"/>
  <c r="L1120" i="1"/>
  <c r="L882" i="1"/>
  <c r="L43" i="1"/>
  <c r="L883" i="1"/>
  <c r="L233" i="1"/>
  <c r="L535" i="1"/>
  <c r="L536" i="1"/>
  <c r="L142" i="1"/>
  <c r="L884" i="1"/>
  <c r="L885" i="1"/>
  <c r="L686" i="1"/>
  <c r="L465" i="1"/>
  <c r="L1121" i="1"/>
  <c r="L494" i="1"/>
  <c r="L687" i="1"/>
  <c r="L466" i="1"/>
  <c r="L886" i="1"/>
  <c r="L467" i="1"/>
  <c r="L688" i="1"/>
  <c r="L887" i="1"/>
  <c r="L537" i="1"/>
  <c r="L115" i="1"/>
  <c r="L468" i="1"/>
  <c r="L446" i="1"/>
  <c r="L888" i="1"/>
  <c r="L423" i="1"/>
  <c r="L306" i="1"/>
  <c r="L93" i="1"/>
  <c r="L469" i="1"/>
  <c r="L424" i="1"/>
  <c r="L94" i="1"/>
  <c r="L538" i="1"/>
  <c r="L539" i="1"/>
  <c r="L889" i="1"/>
  <c r="L540" i="1"/>
  <c r="L1122" i="1"/>
  <c r="L890" i="1"/>
  <c r="L689" i="1"/>
  <c r="L495" i="1"/>
  <c r="L1123" i="1"/>
  <c r="L891" i="1"/>
  <c r="L470" i="1"/>
  <c r="L425" i="1"/>
  <c r="L541" i="1"/>
  <c r="L496" i="1"/>
  <c r="L892" i="1"/>
  <c r="L1124" i="1"/>
  <c r="L542" i="1"/>
  <c r="L116" i="1"/>
  <c r="L690" i="1"/>
  <c r="L426" i="1"/>
  <c r="L39" i="1"/>
  <c r="L691" i="1"/>
  <c r="L543" i="1"/>
  <c r="L1125" i="1"/>
  <c r="L307" i="1"/>
  <c r="L447" i="1"/>
  <c r="L380" i="1"/>
  <c r="L1126" i="1"/>
  <c r="L471" i="1"/>
  <c r="L427" i="1"/>
  <c r="L448" i="1"/>
  <c r="L1127" i="1"/>
  <c r="L544" i="1"/>
  <c r="L545" i="1"/>
  <c r="L692" i="1"/>
  <c r="L234" i="1"/>
  <c r="L235" i="1"/>
  <c r="L693" i="1"/>
  <c r="L236" i="1"/>
  <c r="L694" i="1"/>
  <c r="L381" i="1"/>
  <c r="L472" i="1"/>
  <c r="L497" i="1"/>
  <c r="L1128" i="1"/>
  <c r="L498" i="1"/>
  <c r="L1129" i="1"/>
  <c r="L893" i="1"/>
  <c r="L1130" i="1"/>
  <c r="L1131" i="1"/>
  <c r="L1132" i="1"/>
  <c r="L382" i="1"/>
  <c r="L695" i="1"/>
  <c r="L696" i="1"/>
  <c r="L65" i="1"/>
  <c r="L697" i="1"/>
  <c r="L407" i="1"/>
  <c r="L408" i="1"/>
  <c r="L308" i="1"/>
  <c r="L546" i="1"/>
  <c r="L473" i="1"/>
  <c r="L409" i="1"/>
  <c r="L449" i="1"/>
  <c r="L428" i="1"/>
  <c r="L547" i="1"/>
  <c r="L474" i="1"/>
  <c r="L548" i="1"/>
  <c r="L894" i="1"/>
  <c r="L549" i="1"/>
  <c r="L895" i="1"/>
  <c r="L896" i="1"/>
  <c r="L550" i="1"/>
  <c r="L897" i="1"/>
  <c r="L499" i="1"/>
  <c r="L698" i="1"/>
  <c r="L383" i="1"/>
  <c r="L500" i="1"/>
  <c r="L1133" i="1"/>
  <c r="L475" i="1"/>
  <c r="L699" i="1"/>
  <c r="L450" i="1"/>
  <c r="L384" i="1"/>
  <c r="L429" i="1"/>
  <c r="L410" i="1"/>
  <c r="L551" i="1"/>
  <c r="L700" i="1"/>
  <c r="L701" i="1"/>
  <c r="L898" i="1"/>
  <c r="L552" i="1"/>
  <c r="L501" i="1"/>
  <c r="L117" i="1"/>
  <c r="L1134" i="1"/>
  <c r="L237" i="1"/>
  <c r="L1135" i="1"/>
  <c r="L411" i="1"/>
  <c r="L430" i="1"/>
  <c r="L502" i="1"/>
  <c r="L118" i="1"/>
  <c r="L476" i="1"/>
  <c r="L477" i="1"/>
  <c r="L899" i="1"/>
  <c r="L702" i="1"/>
  <c r="L503" i="1"/>
  <c r="L1136" i="1"/>
  <c r="L504" i="1"/>
  <c r="L553" i="1"/>
  <c r="L900" i="1"/>
  <c r="L478" i="1"/>
  <c r="L309" i="1"/>
  <c r="L1137" i="1"/>
  <c r="L412" i="1"/>
  <c r="L1138" i="1"/>
  <c r="L703" i="1"/>
  <c r="L50" i="1"/>
  <c r="L413" i="1"/>
  <c r="L119" i="1"/>
  <c r="L431" i="1"/>
  <c r="L1139" i="1"/>
  <c r="L704" i="1"/>
  <c r="L505" i="1"/>
  <c r="L40" i="1"/>
  <c r="L1140" i="1"/>
  <c r="L414" i="1"/>
  <c r="L385" i="1"/>
  <c r="L901" i="1"/>
  <c r="L705" i="1"/>
  <c r="L554" i="1"/>
  <c r="L451" i="1"/>
  <c r="L479" i="1"/>
  <c r="L432" i="1"/>
  <c r="L555" i="1"/>
  <c r="L506" i="1"/>
  <c r="L706" i="1"/>
  <c r="L507" i="1"/>
  <c r="L556" i="1"/>
  <c r="L902" i="1"/>
  <c r="L386" i="1"/>
  <c r="L73" i="1"/>
  <c r="L238" i="1"/>
  <c r="L143" i="1"/>
  <c r="L310" i="1"/>
  <c r="L44" i="1"/>
  <c r="L36" i="1"/>
  <c r="L415" i="1"/>
  <c r="L180" i="1"/>
  <c r="L120" i="1"/>
  <c r="L387" i="1"/>
  <c r="L388" i="1"/>
  <c r="L144" i="1"/>
  <c r="L239" i="1"/>
  <c r="L389" i="1"/>
  <c r="L240" i="1"/>
  <c r="L241" i="1"/>
  <c r="L311" i="1"/>
  <c r="L181" i="1"/>
  <c r="L242" i="1"/>
  <c r="L390" i="1"/>
  <c r="L145" i="1"/>
  <c r="L391" i="1"/>
  <c r="L243" i="1"/>
  <c r="L312" i="1"/>
  <c r="L313" i="1"/>
  <c r="L182" i="1"/>
  <c r="L183" i="1"/>
  <c r="L184" i="1"/>
  <c r="L314" i="1"/>
  <c r="L392" i="1"/>
  <c r="L315" i="1"/>
  <c r="L146" i="1"/>
  <c r="L185" i="1"/>
  <c r="L186" i="1"/>
  <c r="L316" i="1"/>
  <c r="L244" i="1"/>
  <c r="L121" i="1"/>
  <c r="L95" i="1"/>
  <c r="L245" i="1"/>
  <c r="L393" i="1"/>
  <c r="L187" i="1"/>
  <c r="L416" i="1"/>
  <c r="L96" i="1"/>
  <c r="L433" i="1"/>
  <c r="L434" i="1"/>
  <c r="L35" i="1"/>
  <c r="L246" i="1"/>
  <c r="L480" i="1"/>
  <c r="L28" i="1"/>
  <c r="L557" i="1"/>
  <c r="L188" i="1"/>
  <c r="L508" i="1"/>
  <c r="L20" i="1"/>
  <c r="L97" i="1"/>
  <c r="L1141" i="1"/>
  <c r="L147" i="1"/>
  <c r="L452" i="1"/>
  <c r="L481" i="1"/>
  <c r="L98" i="1"/>
  <c r="L148" i="1"/>
  <c r="L482" i="1"/>
  <c r="L417" i="1"/>
  <c r="L903" i="1"/>
  <c r="L453" i="1"/>
  <c r="L454" i="1"/>
  <c r="L558" i="1"/>
  <c r="L26" i="1"/>
  <c r="L16" i="1"/>
  <c r="L707" i="1"/>
  <c r="L455" i="1"/>
  <c r="L435" i="1"/>
  <c r="L559" i="1"/>
  <c r="L57" i="1"/>
  <c r="L483" i="1"/>
  <c r="L394" i="1"/>
  <c r="L509" i="1"/>
  <c r="L560" i="1"/>
  <c r="L1142" i="1"/>
  <c r="L12" i="1"/>
  <c r="L561" i="1"/>
  <c r="L99" i="1"/>
  <c r="L247" i="1"/>
  <c r="L904" i="1"/>
  <c r="L1143" i="1"/>
  <c r="L45" i="1"/>
  <c r="L149" i="1"/>
  <c r="L1144" i="1"/>
  <c r="L122" i="1"/>
  <c r="L436" i="1"/>
  <c r="L150" i="1"/>
  <c r="L708" i="1"/>
  <c r="L905" i="1"/>
  <c r="L395" i="1"/>
  <c r="L418" i="1"/>
  <c r="M510" i="1"/>
  <c r="M562" i="1"/>
  <c r="M906" i="1"/>
  <c r="M709" i="1"/>
  <c r="M563" i="1"/>
  <c r="M907" i="1"/>
  <c r="M710" i="1"/>
  <c r="M564" i="1"/>
  <c r="M711" i="1"/>
  <c r="M712" i="1"/>
  <c r="M908" i="1"/>
  <c r="M909" i="1"/>
  <c r="M910" i="1"/>
  <c r="M911" i="1"/>
  <c r="M565" i="1"/>
  <c r="M912" i="1"/>
  <c r="M713" i="1"/>
  <c r="M913" i="1"/>
  <c r="M714" i="1"/>
  <c r="M511" i="1"/>
  <c r="M914" i="1"/>
  <c r="M715" i="1"/>
  <c r="M716" i="1"/>
  <c r="M566" i="1"/>
  <c r="M915" i="1"/>
  <c r="M916" i="1"/>
  <c r="M567" i="1"/>
  <c r="M717" i="1"/>
  <c r="M568" i="1"/>
  <c r="M917" i="1"/>
  <c r="M918" i="1"/>
  <c r="M569" i="1"/>
  <c r="M718" i="1"/>
  <c r="M719" i="1"/>
  <c r="M570" i="1"/>
  <c r="M919" i="1"/>
  <c r="M571" i="1"/>
  <c r="M572" i="1"/>
  <c r="M720" i="1"/>
  <c r="M721" i="1"/>
  <c r="M920" i="1"/>
  <c r="M921" i="1"/>
  <c r="M722" i="1"/>
  <c r="M573" i="1"/>
  <c r="M922" i="1"/>
  <c r="M723" i="1"/>
  <c r="M724" i="1"/>
  <c r="M574" i="1"/>
  <c r="M725" i="1"/>
  <c r="M512" i="1"/>
  <c r="M575" i="1"/>
  <c r="M923" i="1"/>
  <c r="M726" i="1"/>
  <c r="M924" i="1"/>
  <c r="M925" i="1"/>
  <c r="M576" i="1"/>
  <c r="M727" i="1"/>
  <c r="M926" i="1"/>
  <c r="M927" i="1"/>
  <c r="M928" i="1"/>
  <c r="M484" i="1"/>
  <c r="M929" i="1"/>
  <c r="M930" i="1"/>
  <c r="M577" i="1"/>
  <c r="M578" i="1"/>
  <c r="M579" i="1"/>
  <c r="M931" i="1"/>
  <c r="M932" i="1"/>
  <c r="M728" i="1"/>
  <c r="M729" i="1"/>
  <c r="M730" i="1"/>
  <c r="M580" i="1"/>
  <c r="M933" i="1"/>
  <c r="M934" i="1"/>
  <c r="M935" i="1"/>
  <c r="M731" i="1"/>
  <c r="M936" i="1"/>
  <c r="M581" i="1"/>
  <c r="M937" i="1"/>
  <c r="M582" i="1"/>
  <c r="M938" i="1"/>
  <c r="M939" i="1"/>
  <c r="M732" i="1"/>
  <c r="M437" i="1"/>
  <c r="M583" i="1"/>
  <c r="M733" i="1"/>
  <c r="M584" i="1"/>
  <c r="M940" i="1"/>
  <c r="M585" i="1"/>
  <c r="M586" i="1"/>
  <c r="M438" i="1"/>
  <c r="M587" i="1"/>
  <c r="M734" i="1"/>
  <c r="M588" i="1"/>
  <c r="M941" i="1"/>
  <c r="M942" i="1"/>
  <c r="M943" i="1"/>
  <c r="M944" i="1"/>
  <c r="M945" i="1"/>
  <c r="M946" i="1"/>
  <c r="M735" i="1"/>
  <c r="M736" i="1"/>
  <c r="M947" i="1"/>
  <c r="M737" i="1"/>
  <c r="M738" i="1"/>
  <c r="M739" i="1"/>
  <c r="M740" i="1"/>
  <c r="M948" i="1"/>
  <c r="M741" i="1"/>
  <c r="M589" i="1"/>
  <c r="M742" i="1"/>
  <c r="M513" i="1"/>
  <c r="M743" i="1"/>
  <c r="M949" i="1"/>
  <c r="M950" i="1"/>
  <c r="M951" i="1"/>
  <c r="M744" i="1"/>
  <c r="M952" i="1"/>
  <c r="M953" i="1"/>
  <c r="M954" i="1"/>
  <c r="M745" i="1"/>
  <c r="M746" i="1"/>
  <c r="M955" i="1"/>
  <c r="M590" i="1"/>
  <c r="M747" i="1"/>
  <c r="M591" i="1"/>
  <c r="M748" i="1"/>
  <c r="M956" i="1"/>
  <c r="M957" i="1"/>
  <c r="M749" i="1"/>
  <c r="M750" i="1"/>
  <c r="M958" i="1"/>
  <c r="M959" i="1"/>
  <c r="M592" i="1"/>
  <c r="M960" i="1"/>
  <c r="M961" i="1"/>
  <c r="M593" i="1"/>
  <c r="M594" i="1"/>
  <c r="M514" i="1"/>
  <c r="M485" i="1"/>
  <c r="M595" i="1"/>
  <c r="M596" i="1"/>
  <c r="M962" i="1"/>
  <c r="M963" i="1"/>
  <c r="M964" i="1"/>
  <c r="M597" i="1"/>
  <c r="M456" i="1"/>
  <c r="M515" i="1"/>
  <c r="M598" i="1"/>
  <c r="M965" i="1"/>
  <c r="M751" i="1"/>
  <c r="M439" i="1"/>
  <c r="M752" i="1"/>
  <c r="M966" i="1"/>
  <c r="M967" i="1"/>
  <c r="M753" i="1"/>
  <c r="M599" i="1"/>
  <c r="M968" i="1"/>
  <c r="M969" i="1"/>
  <c r="M600" i="1"/>
  <c r="M601" i="1"/>
  <c r="M970" i="1"/>
  <c r="M602" i="1"/>
  <c r="M971" i="1"/>
  <c r="M972" i="1"/>
  <c r="M603" i="1"/>
  <c r="M604" i="1"/>
  <c r="M605" i="1"/>
  <c r="M754" i="1"/>
  <c r="M973" i="1"/>
  <c r="M974" i="1"/>
  <c r="M975" i="1"/>
  <c r="M976" i="1"/>
  <c r="M606" i="1"/>
  <c r="M607" i="1"/>
  <c r="M755" i="1"/>
  <c r="M977" i="1"/>
  <c r="M756" i="1"/>
  <c r="M757" i="1"/>
  <c r="M758" i="1"/>
  <c r="M978" i="1"/>
  <c r="M979" i="1"/>
  <c r="M980" i="1"/>
  <c r="M981" i="1"/>
  <c r="M982" i="1"/>
  <c r="M759" i="1"/>
  <c r="M760" i="1"/>
  <c r="M608" i="1"/>
  <c r="M761" i="1"/>
  <c r="M983" i="1"/>
  <c r="M762" i="1"/>
  <c r="M609" i="1"/>
  <c r="M763" i="1"/>
  <c r="M610" i="1"/>
  <c r="M764" i="1"/>
  <c r="M457" i="1"/>
  <c r="M765" i="1"/>
  <c r="M766" i="1"/>
  <c r="M516" i="1"/>
  <c r="M517" i="1"/>
  <c r="M767" i="1"/>
  <c r="M768" i="1"/>
  <c r="M611" i="1"/>
  <c r="M984" i="1"/>
  <c r="M985" i="1"/>
  <c r="M769" i="1"/>
  <c r="M612" i="1"/>
  <c r="M770" i="1"/>
  <c r="M771" i="1"/>
  <c r="M772" i="1"/>
  <c r="M773" i="1"/>
  <c r="M774" i="1"/>
  <c r="M518" i="1"/>
  <c r="M986" i="1"/>
  <c r="M775" i="1"/>
  <c r="M613" i="1"/>
  <c r="M987" i="1"/>
  <c r="M614" i="1"/>
  <c r="M615" i="1"/>
  <c r="M616" i="1"/>
  <c r="M776" i="1"/>
  <c r="M988" i="1"/>
  <c r="M989" i="1"/>
  <c r="M777" i="1"/>
  <c r="M990" i="1"/>
  <c r="M617" i="1"/>
  <c r="M778" i="1"/>
  <c r="M618" i="1"/>
  <c r="M779" i="1"/>
  <c r="M780" i="1"/>
  <c r="M781" i="1"/>
  <c r="M782" i="1"/>
  <c r="M783" i="1"/>
  <c r="M991" i="1"/>
  <c r="M784" i="1"/>
  <c r="M992" i="1"/>
  <c r="M785" i="1"/>
  <c r="M619" i="1"/>
  <c r="M786" i="1"/>
  <c r="M519" i="1"/>
  <c r="M520" i="1"/>
  <c r="M993" i="1"/>
  <c r="M787" i="1"/>
  <c r="M788" i="1"/>
  <c r="M620" i="1"/>
  <c r="M621" i="1"/>
  <c r="M994" i="1"/>
  <c r="M789" i="1"/>
  <c r="M995" i="1"/>
  <c r="M622" i="1"/>
  <c r="M996" i="1"/>
  <c r="M521" i="1"/>
  <c r="M623" i="1"/>
  <c r="M997" i="1"/>
  <c r="M790" i="1"/>
  <c r="M791" i="1"/>
  <c r="M998" i="1"/>
  <c r="M624" i="1"/>
  <c r="M792" i="1"/>
  <c r="M793" i="1"/>
  <c r="M794" i="1"/>
  <c r="M795" i="1"/>
  <c r="M796" i="1"/>
  <c r="M797" i="1"/>
  <c r="M798" i="1"/>
  <c r="M625" i="1"/>
  <c r="M999" i="1"/>
  <c r="M626" i="1"/>
  <c r="M1000" i="1"/>
  <c r="M1001" i="1"/>
  <c r="M1002" i="1"/>
  <c r="M627" i="1"/>
  <c r="M799" i="1"/>
  <c r="M1003" i="1"/>
  <c r="M1004" i="1"/>
  <c r="M628" i="1"/>
  <c r="M800" i="1"/>
  <c r="M629" i="1"/>
  <c r="M801" i="1"/>
  <c r="M630" i="1"/>
  <c r="M631" i="1"/>
  <c r="M1005" i="1"/>
  <c r="M632" i="1"/>
  <c r="M802" i="1"/>
  <c r="M522" i="1"/>
  <c r="M633" i="1"/>
  <c r="M1006" i="1"/>
  <c r="M803" i="1"/>
  <c r="M1007" i="1"/>
  <c r="M634" i="1"/>
  <c r="M635" i="1"/>
  <c r="M523" i="1"/>
  <c r="M1008" i="1"/>
  <c r="M804" i="1"/>
  <c r="M1009" i="1"/>
  <c r="M1010" i="1"/>
  <c r="M805" i="1"/>
  <c r="M636" i="1"/>
  <c r="M637" i="1"/>
  <c r="M806" i="1"/>
  <c r="M638" i="1"/>
  <c r="M1011" i="1"/>
  <c r="M1012" i="1"/>
  <c r="M1013" i="1"/>
  <c r="M807" i="1"/>
  <c r="M524" i="1"/>
  <c r="M1014" i="1"/>
  <c r="M808" i="1"/>
  <c r="M809" i="1"/>
  <c r="M810" i="1"/>
  <c r="M811" i="1"/>
  <c r="M639" i="1"/>
  <c r="M1015" i="1"/>
  <c r="M812" i="1"/>
  <c r="M1016" i="1"/>
  <c r="M640" i="1"/>
  <c r="M1017" i="1"/>
  <c r="M813" i="1"/>
  <c r="M641" i="1"/>
  <c r="M1018" i="1"/>
  <c r="M1019" i="1"/>
  <c r="M642" i="1"/>
  <c r="M814" i="1"/>
  <c r="M643" i="1"/>
  <c r="M815" i="1"/>
  <c r="M644" i="1"/>
  <c r="M1020" i="1"/>
  <c r="M816" i="1"/>
  <c r="M1021" i="1"/>
  <c r="M817" i="1"/>
  <c r="M818" i="1"/>
  <c r="M819" i="1"/>
  <c r="M1022" i="1"/>
  <c r="M820" i="1"/>
  <c r="M1023" i="1"/>
  <c r="M645" i="1"/>
  <c r="M646" i="1"/>
  <c r="M821" i="1"/>
  <c r="M525" i="1"/>
  <c r="M822" i="1"/>
  <c r="M823" i="1"/>
  <c r="M824" i="1"/>
  <c r="M825" i="1"/>
  <c r="M1024" i="1"/>
  <c r="M647" i="1"/>
  <c r="M826" i="1"/>
  <c r="M648" i="1"/>
  <c r="M827" i="1"/>
  <c r="M649" i="1"/>
  <c r="M1025" i="1"/>
  <c r="M828" i="1"/>
  <c r="M1026" i="1"/>
  <c r="M1027" i="1"/>
  <c r="M650" i="1"/>
  <c r="M1028" i="1"/>
  <c r="M526" i="1"/>
  <c r="M829" i="1"/>
  <c r="M1029" i="1"/>
  <c r="M830" i="1"/>
  <c r="M527" i="1"/>
  <c r="M1030" i="1"/>
  <c r="M651" i="1"/>
  <c r="M652" i="1"/>
  <c r="M1031" i="1"/>
  <c r="M1032" i="1"/>
  <c r="M1033" i="1"/>
  <c r="M1034" i="1"/>
  <c r="M1035" i="1"/>
  <c r="M831" i="1"/>
  <c r="M832" i="1"/>
  <c r="M653" i="1"/>
  <c r="M833" i="1"/>
  <c r="M654" i="1"/>
  <c r="M655" i="1"/>
  <c r="M834" i="1"/>
  <c r="M656" i="1"/>
  <c r="M835" i="1"/>
  <c r="M836" i="1"/>
  <c r="M837" i="1"/>
  <c r="M838" i="1"/>
  <c r="M839" i="1"/>
  <c r="M840" i="1"/>
  <c r="M841" i="1"/>
  <c r="M1036" i="1"/>
  <c r="M842" i="1"/>
  <c r="M843" i="1"/>
  <c r="M528" i="1"/>
  <c r="M657" i="1"/>
  <c r="M844" i="1"/>
  <c r="M1037" i="1"/>
  <c r="M1038" i="1"/>
  <c r="M845" i="1"/>
  <c r="M846" i="1"/>
  <c r="M1039" i="1"/>
  <c r="M1040" i="1"/>
  <c r="M847" i="1"/>
  <c r="M848" i="1"/>
  <c r="M658" i="1"/>
  <c r="M659" i="1"/>
  <c r="M660" i="1"/>
  <c r="M1041" i="1"/>
  <c r="M1042" i="1"/>
  <c r="M849" i="1"/>
  <c r="M1043" i="1"/>
  <c r="M850" i="1"/>
  <c r="M661" i="1"/>
  <c r="M662" i="1"/>
  <c r="M851" i="1"/>
  <c r="M1044" i="1"/>
  <c r="M663" i="1"/>
  <c r="M529" i="1"/>
  <c r="M1045" i="1"/>
  <c r="M1046" i="1"/>
  <c r="M1047" i="1"/>
  <c r="M664" i="1"/>
  <c r="M852" i="1"/>
  <c r="M853" i="1"/>
  <c r="M665" i="1"/>
  <c r="M854" i="1"/>
  <c r="M1048" i="1"/>
  <c r="M855" i="1"/>
  <c r="M1049" i="1"/>
  <c r="M856" i="1"/>
  <c r="M1050" i="1"/>
  <c r="M486" i="1"/>
  <c r="M1051" i="1"/>
  <c r="M857" i="1"/>
  <c r="M858" i="1"/>
  <c r="M859" i="1"/>
  <c r="M666" i="1"/>
  <c r="M860" i="1"/>
  <c r="M530" i="1"/>
  <c r="M1052" i="1"/>
  <c r="M1053" i="1"/>
  <c r="M1054" i="1"/>
  <c r="M1055" i="1"/>
  <c r="M1056" i="1"/>
  <c r="M1057" i="1"/>
  <c r="M861" i="1"/>
  <c r="M1058" i="1"/>
  <c r="M667" i="1"/>
  <c r="M668" i="1"/>
  <c r="M1059" i="1"/>
  <c r="M862" i="1"/>
  <c r="M1060" i="1"/>
  <c r="M863" i="1"/>
  <c r="M1061" i="1"/>
  <c r="M1062" i="1"/>
  <c r="M864" i="1"/>
  <c r="M1063" i="1"/>
  <c r="M1064" i="1"/>
  <c r="M1065" i="1"/>
  <c r="M1066" i="1"/>
  <c r="M1067" i="1"/>
  <c r="M1068" i="1"/>
  <c r="M1069" i="1"/>
  <c r="M1070" i="1"/>
  <c r="M1071" i="1"/>
  <c r="M487" i="1"/>
  <c r="M1072" i="1"/>
  <c r="M1073" i="1"/>
  <c r="M865" i="1"/>
  <c r="M1074" i="1"/>
  <c r="M1075" i="1"/>
  <c r="M1076" i="1"/>
  <c r="M669" i="1"/>
  <c r="M1077" i="1"/>
  <c r="M1078" i="1"/>
  <c r="M866" i="1"/>
  <c r="M1079" i="1"/>
  <c r="M1080" i="1"/>
  <c r="M1081" i="1"/>
  <c r="M458" i="1"/>
  <c r="M1082" i="1"/>
  <c r="M670" i="1"/>
  <c r="M671" i="1"/>
  <c r="M531" i="1"/>
  <c r="M672" i="1"/>
  <c r="M1083" i="1"/>
  <c r="M673" i="1"/>
  <c r="M532" i="1"/>
  <c r="M1084" i="1"/>
  <c r="M1085" i="1"/>
  <c r="M867" i="1"/>
  <c r="M488" i="1"/>
  <c r="M868" i="1"/>
  <c r="M674" i="1"/>
  <c r="M1086" i="1"/>
  <c r="M1087" i="1"/>
  <c r="M1088" i="1"/>
  <c r="M869" i="1"/>
  <c r="M1089" i="1"/>
  <c r="M675" i="1"/>
  <c r="M870" i="1"/>
  <c r="M871" i="1"/>
  <c r="M1090" i="1"/>
  <c r="M1091" i="1"/>
  <c r="M1092" i="1"/>
  <c r="M1093" i="1"/>
  <c r="M872" i="1"/>
  <c r="M1094" i="1"/>
  <c r="M873" i="1"/>
  <c r="M1095" i="1"/>
  <c r="M874" i="1"/>
  <c r="M875" i="1"/>
  <c r="M876" i="1"/>
  <c r="M1096" i="1"/>
  <c r="M1097" i="1"/>
  <c r="M676" i="1"/>
  <c r="M677" i="1"/>
  <c r="M1098" i="1"/>
  <c r="M1099" i="1"/>
  <c r="M678" i="1"/>
  <c r="M679" i="1"/>
  <c r="M877" i="1"/>
  <c r="M680" i="1"/>
  <c r="M1100" i="1"/>
  <c r="M1101" i="1"/>
  <c r="M4" i="1"/>
  <c r="M27" i="1"/>
  <c r="M1102" i="1"/>
  <c r="M74" i="1"/>
  <c r="M37" i="1"/>
  <c r="M317" i="1"/>
  <c r="M9" i="1"/>
  <c r="M2" i="1"/>
  <c r="M189" i="1"/>
  <c r="M51" i="1"/>
  <c r="M3" i="1"/>
  <c r="M75" i="1"/>
  <c r="M248" i="1"/>
  <c r="M6" i="1"/>
  <c r="M76" i="1"/>
  <c r="M100" i="1"/>
  <c r="M46" i="1"/>
  <c r="M318" i="1"/>
  <c r="M190" i="1"/>
  <c r="M41" i="1"/>
  <c r="M249" i="1"/>
  <c r="M58" i="1"/>
  <c r="M101" i="1"/>
  <c r="M191" i="1"/>
  <c r="M151" i="1"/>
  <c r="M192" i="1"/>
  <c r="M13" i="1"/>
  <c r="M250" i="1"/>
  <c r="M251" i="1"/>
  <c r="M152" i="1"/>
  <c r="M193" i="1"/>
  <c r="M153" i="1"/>
  <c r="M102" i="1"/>
  <c r="M319" i="1"/>
  <c r="M396" i="1"/>
  <c r="M320" i="1"/>
  <c r="M77" i="1"/>
  <c r="M321" i="1"/>
  <c r="M252" i="1"/>
  <c r="M78" i="1"/>
  <c r="M322" i="1"/>
  <c r="M103" i="1"/>
  <c r="M47" i="1"/>
  <c r="M14" i="1"/>
  <c r="M323" i="1"/>
  <c r="M324" i="1"/>
  <c r="M194" i="1"/>
  <c r="M325" i="1"/>
  <c r="M154" i="1"/>
  <c r="M195" i="1"/>
  <c r="M17" i="1"/>
  <c r="M123" i="1"/>
  <c r="M326" i="1"/>
  <c r="M66" i="1"/>
  <c r="M253" i="1"/>
  <c r="M327" i="1"/>
  <c r="M7" i="1"/>
  <c r="M31" i="1"/>
  <c r="M32" i="1"/>
  <c r="M10" i="1"/>
  <c r="M124" i="1"/>
  <c r="M8" i="1"/>
  <c r="M42" i="1"/>
  <c r="M397" i="1"/>
  <c r="M196" i="1"/>
  <c r="M398" i="1"/>
  <c r="M59" i="1"/>
  <c r="M104" i="1"/>
  <c r="M328" i="1"/>
  <c r="M1103" i="1"/>
  <c r="M155" i="1"/>
  <c r="M254" i="1"/>
  <c r="M329" i="1"/>
  <c r="M125" i="1"/>
  <c r="M330" i="1"/>
  <c r="M255" i="1"/>
  <c r="M197" i="1"/>
  <c r="M331" i="1"/>
  <c r="M156" i="1"/>
  <c r="M126" i="1"/>
  <c r="M256" i="1"/>
  <c r="M1104" i="1"/>
  <c r="M127" i="1"/>
  <c r="M332" i="1"/>
  <c r="M333" i="1"/>
  <c r="M60" i="1"/>
  <c r="M157" i="1"/>
  <c r="M334" i="1"/>
  <c r="M335" i="1"/>
  <c r="M158" i="1"/>
  <c r="M1105" i="1"/>
  <c r="M67" i="1"/>
  <c r="M198" i="1"/>
  <c r="M61" i="1"/>
  <c r="M199" i="1"/>
  <c r="M11" i="1"/>
  <c r="M68" i="1"/>
  <c r="M128" i="1"/>
  <c r="M399" i="1"/>
  <c r="M336" i="1"/>
  <c r="M1106" i="1"/>
  <c r="M159" i="1"/>
  <c r="M337" i="1"/>
  <c r="M33" i="1"/>
  <c r="M338" i="1"/>
  <c r="M52" i="1"/>
  <c r="M160" i="1"/>
  <c r="M200" i="1"/>
  <c r="M201" i="1"/>
  <c r="M79" i="1"/>
  <c r="M21" i="1"/>
  <c r="M257" i="1"/>
  <c r="M258" i="1"/>
  <c r="M161" i="1"/>
  <c r="M105" i="1"/>
  <c r="M339" i="1"/>
  <c r="M259" i="1"/>
  <c r="M53" i="1"/>
  <c r="M260" i="1"/>
  <c r="M69" i="1"/>
  <c r="M162" i="1"/>
  <c r="M106" i="1"/>
  <c r="M163" i="1"/>
  <c r="M340" i="1"/>
  <c r="M261" i="1"/>
  <c r="M262" i="1"/>
  <c r="M202" i="1"/>
  <c r="M80" i="1"/>
  <c r="M341" i="1"/>
  <c r="M342" i="1"/>
  <c r="M263" i="1"/>
  <c r="M343" i="1"/>
  <c r="M344" i="1"/>
  <c r="M129" i="1"/>
  <c r="M345" i="1"/>
  <c r="M346" i="1"/>
  <c r="M203" i="1"/>
  <c r="M419" i="1"/>
  <c r="M264" i="1"/>
  <c r="M265" i="1"/>
  <c r="M1107" i="1"/>
  <c r="M48" i="1"/>
  <c r="M204" i="1"/>
  <c r="M205" i="1"/>
  <c r="M25" i="1"/>
  <c r="M347" i="1"/>
  <c r="M130" i="1"/>
  <c r="M164" i="1"/>
  <c r="M206" i="1"/>
  <c r="M49" i="1"/>
  <c r="M70" i="1"/>
  <c r="M1108" i="1"/>
  <c r="M81" i="1"/>
  <c r="M34" i="1"/>
  <c r="M348" i="1"/>
  <c r="M165" i="1"/>
  <c r="M207" i="1"/>
  <c r="M349" i="1"/>
  <c r="M82" i="1"/>
  <c r="M62" i="1"/>
  <c r="M131" i="1"/>
  <c r="M266" i="1"/>
  <c r="M166" i="1"/>
  <c r="M132" i="1"/>
  <c r="M208" i="1"/>
  <c r="M267" i="1"/>
  <c r="M209" i="1"/>
  <c r="M210" i="1"/>
  <c r="M268" i="1"/>
  <c r="M269" i="1"/>
  <c r="M54" i="1"/>
  <c r="M83" i="1"/>
  <c r="M211" i="1"/>
  <c r="M350" i="1"/>
  <c r="M212" i="1"/>
  <c r="M213" i="1"/>
  <c r="M270" i="1"/>
  <c r="M271" i="1"/>
  <c r="M400" i="1"/>
  <c r="M214" i="1"/>
  <c r="M272" i="1"/>
  <c r="M84" i="1"/>
  <c r="M167" i="1"/>
  <c r="M215" i="1"/>
  <c r="M133" i="1"/>
  <c r="M107" i="1"/>
  <c r="M273" i="1"/>
  <c r="M38" i="1"/>
  <c r="M22" i="1"/>
  <c r="M85" i="1"/>
  <c r="M274" i="1"/>
  <c r="M134" i="1"/>
  <c r="M351" i="1"/>
  <c r="M71" i="1"/>
  <c r="M168" i="1"/>
  <c r="M275" i="1"/>
  <c r="M63" i="1"/>
  <c r="M169" i="1"/>
  <c r="M276" i="1"/>
  <c r="M86" i="1"/>
  <c r="M170" i="1"/>
  <c r="M1109" i="1"/>
  <c r="M277" i="1"/>
  <c r="M352" i="1"/>
  <c r="M353" i="1"/>
  <c r="M278" i="1"/>
  <c r="M354" i="1"/>
  <c r="M355" i="1"/>
  <c r="M356" i="1"/>
  <c r="M279" i="1"/>
  <c r="M280" i="1"/>
  <c r="M401" i="1"/>
  <c r="M171" i="1"/>
  <c r="M357" i="1"/>
  <c r="M172" i="1"/>
  <c r="M173" i="1"/>
  <c r="M358" i="1"/>
  <c r="M135" i="1"/>
  <c r="M136" i="1"/>
  <c r="M216" i="1"/>
  <c r="M217" i="1"/>
  <c r="M218" i="1"/>
  <c r="M281" i="1"/>
  <c r="M359" i="1"/>
  <c r="M108" i="1"/>
  <c r="M219" i="1"/>
  <c r="M402" i="1"/>
  <c r="M403" i="1"/>
  <c r="M220" i="1"/>
  <c r="M282" i="1"/>
  <c r="M283" i="1"/>
  <c r="M360" i="1"/>
  <c r="M221" i="1"/>
  <c r="M222" i="1"/>
  <c r="M361" i="1"/>
  <c r="M284" i="1"/>
  <c r="M285" i="1"/>
  <c r="M286" i="1"/>
  <c r="M362" i="1"/>
  <c r="M174" i="1"/>
  <c r="M223" i="1"/>
  <c r="M109" i="1"/>
  <c r="M29" i="1"/>
  <c r="M137" i="1"/>
  <c r="M224" i="1"/>
  <c r="M225" i="1"/>
  <c r="M287" i="1"/>
  <c r="M23" i="1"/>
  <c r="M87" i="1"/>
  <c r="M175" i="1"/>
  <c r="M55" i="1"/>
  <c r="M64" i="1"/>
  <c r="M288" i="1"/>
  <c r="M363" i="1"/>
  <c r="M72" i="1"/>
  <c r="M88" i="1"/>
  <c r="M138" i="1"/>
  <c r="M289" i="1"/>
  <c r="M364" i="1"/>
  <c r="M290" i="1"/>
  <c r="M176" i="1"/>
  <c r="M291" i="1"/>
  <c r="M292" i="1"/>
  <c r="M365" i="1"/>
  <c r="M293" i="1"/>
  <c r="M366" i="1"/>
  <c r="M367" i="1"/>
  <c r="M368" i="1"/>
  <c r="M404" i="1"/>
  <c r="M369" i="1"/>
  <c r="M370" i="1"/>
  <c r="M89" i="1"/>
  <c r="M294" i="1"/>
  <c r="M226" i="1"/>
  <c r="M371" i="1"/>
  <c r="M227" i="1"/>
  <c r="M228" i="1"/>
  <c r="M372" i="1"/>
  <c r="M295" i="1"/>
  <c r="M296" i="1"/>
  <c r="M229" i="1"/>
  <c r="M110" i="1"/>
  <c r="M373" i="1"/>
  <c r="M374" i="1"/>
  <c r="M230" i="1"/>
  <c r="M111" i="1"/>
  <c r="M297" i="1"/>
  <c r="M177" i="1"/>
  <c r="M18" i="1"/>
  <c r="M15" i="1"/>
  <c r="M375" i="1"/>
  <c r="M298" i="1"/>
  <c r="M231" i="1"/>
  <c r="M299" i="1"/>
  <c r="M178" i="1"/>
  <c r="M139" i="1"/>
  <c r="M90" i="1"/>
  <c r="M300" i="1"/>
  <c r="M301" i="1"/>
  <c r="M302" i="1"/>
  <c r="M405" i="1"/>
  <c r="M406" i="1"/>
  <c r="M232" i="1"/>
  <c r="M376" i="1"/>
  <c r="M377" i="1"/>
  <c r="M378" i="1"/>
  <c r="M379" i="1"/>
  <c r="M140" i="1"/>
  <c r="M878" i="1"/>
  <c r="M24" i="1"/>
  <c r="M420" i="1"/>
  <c r="M459" i="1"/>
  <c r="M112" i="1"/>
  <c r="M533" i="1"/>
  <c r="M303" i="1"/>
  <c r="M440" i="1"/>
  <c r="M441" i="1"/>
  <c r="M681" i="1"/>
  <c r="M489" i="1"/>
  <c r="M879" i="1"/>
  <c r="M1110" i="1"/>
  <c r="M1111" i="1"/>
  <c r="M490" i="1"/>
  <c r="M304" i="1"/>
  <c r="M460" i="1"/>
  <c r="M421" i="1"/>
  <c r="M91" i="1"/>
  <c r="M442" i="1"/>
  <c r="M422" i="1"/>
  <c r="M113" i="1"/>
  <c r="M443" i="1"/>
  <c r="M534" i="1"/>
  <c r="M461" i="1"/>
  <c r="M1112" i="1"/>
  <c r="M682" i="1"/>
  <c r="M491" i="1"/>
  <c r="M444" i="1"/>
  <c r="M1113" i="1"/>
  <c r="M683" i="1"/>
  <c r="M462" i="1"/>
  <c r="M463" i="1"/>
  <c r="M30" i="1"/>
  <c r="M5" i="1"/>
  <c r="M492" i="1"/>
  <c r="M305" i="1"/>
  <c r="M114" i="1"/>
  <c r="M1114" i="1"/>
  <c r="M179" i="1"/>
  <c r="M684" i="1"/>
  <c r="M19" i="1"/>
  <c r="M445" i="1"/>
  <c r="M1115" i="1"/>
  <c r="M56" i="1"/>
  <c r="M1116" i="1"/>
  <c r="M1117" i="1"/>
  <c r="M685" i="1"/>
  <c r="M880" i="1"/>
  <c r="M881" i="1"/>
  <c r="M141" i="1"/>
  <c r="M464" i="1"/>
  <c r="M1118" i="1"/>
  <c r="M92" i="1"/>
  <c r="M1119" i="1"/>
  <c r="M493" i="1"/>
  <c r="M1120" i="1"/>
  <c r="M882" i="1"/>
  <c r="M43" i="1"/>
  <c r="M883" i="1"/>
  <c r="M233" i="1"/>
  <c r="M535" i="1"/>
  <c r="M536" i="1"/>
  <c r="M142" i="1"/>
  <c r="M884" i="1"/>
  <c r="M885" i="1"/>
  <c r="M686" i="1"/>
  <c r="M465" i="1"/>
  <c r="M1121" i="1"/>
  <c r="M494" i="1"/>
  <c r="M687" i="1"/>
  <c r="M466" i="1"/>
  <c r="M886" i="1"/>
  <c r="M467" i="1"/>
  <c r="M688" i="1"/>
  <c r="M887" i="1"/>
  <c r="M537" i="1"/>
  <c r="M115" i="1"/>
  <c r="M468" i="1"/>
  <c r="M446" i="1"/>
  <c r="M888" i="1"/>
  <c r="M423" i="1"/>
  <c r="M306" i="1"/>
  <c r="M93" i="1"/>
  <c r="M469" i="1"/>
  <c r="M424" i="1"/>
  <c r="M94" i="1"/>
  <c r="M538" i="1"/>
  <c r="M539" i="1"/>
  <c r="M889" i="1"/>
  <c r="M540" i="1"/>
  <c r="M1122" i="1"/>
  <c r="M890" i="1"/>
  <c r="M689" i="1"/>
  <c r="M495" i="1"/>
  <c r="M1123" i="1"/>
  <c r="M891" i="1"/>
  <c r="M470" i="1"/>
  <c r="M425" i="1"/>
  <c r="M541" i="1"/>
  <c r="M496" i="1"/>
  <c r="M892" i="1"/>
  <c r="M1124" i="1"/>
  <c r="M542" i="1"/>
  <c r="M116" i="1"/>
  <c r="M690" i="1"/>
  <c r="M426" i="1"/>
  <c r="M39" i="1"/>
  <c r="M691" i="1"/>
  <c r="M543" i="1"/>
  <c r="M1125" i="1"/>
  <c r="M307" i="1"/>
  <c r="M447" i="1"/>
  <c r="M380" i="1"/>
  <c r="M1126" i="1"/>
  <c r="M471" i="1"/>
  <c r="M427" i="1"/>
  <c r="M448" i="1"/>
  <c r="M1127" i="1"/>
  <c r="M544" i="1"/>
  <c r="M545" i="1"/>
  <c r="M692" i="1"/>
  <c r="M234" i="1"/>
  <c r="M235" i="1"/>
  <c r="M693" i="1"/>
  <c r="M236" i="1"/>
  <c r="M694" i="1"/>
  <c r="M381" i="1"/>
  <c r="M472" i="1"/>
  <c r="M497" i="1"/>
  <c r="M1128" i="1"/>
  <c r="M498" i="1"/>
  <c r="M1129" i="1"/>
  <c r="M893" i="1"/>
  <c r="M1130" i="1"/>
  <c r="M1131" i="1"/>
  <c r="M1132" i="1"/>
  <c r="M382" i="1"/>
  <c r="M695" i="1"/>
  <c r="M696" i="1"/>
  <c r="M65" i="1"/>
  <c r="M697" i="1"/>
  <c r="M407" i="1"/>
  <c r="M408" i="1"/>
  <c r="M308" i="1"/>
  <c r="M546" i="1"/>
  <c r="M473" i="1"/>
  <c r="M409" i="1"/>
  <c r="M449" i="1"/>
  <c r="M428" i="1"/>
  <c r="M547" i="1"/>
  <c r="M474" i="1"/>
  <c r="M548" i="1"/>
  <c r="M894" i="1"/>
  <c r="M549" i="1"/>
  <c r="M895" i="1"/>
  <c r="M896" i="1"/>
  <c r="M550" i="1"/>
  <c r="M897" i="1"/>
  <c r="M499" i="1"/>
  <c r="M698" i="1"/>
  <c r="M383" i="1"/>
  <c r="M500" i="1"/>
  <c r="M1133" i="1"/>
  <c r="M475" i="1"/>
  <c r="M699" i="1"/>
  <c r="M450" i="1"/>
  <c r="M384" i="1"/>
  <c r="M429" i="1"/>
  <c r="M410" i="1"/>
  <c r="M551" i="1"/>
  <c r="M700" i="1"/>
  <c r="M701" i="1"/>
  <c r="M898" i="1"/>
  <c r="M552" i="1"/>
  <c r="M501" i="1"/>
  <c r="M117" i="1"/>
  <c r="M1134" i="1"/>
  <c r="M237" i="1"/>
  <c r="M1135" i="1"/>
  <c r="M411" i="1"/>
  <c r="M430" i="1"/>
  <c r="M502" i="1"/>
  <c r="M118" i="1"/>
  <c r="M476" i="1"/>
  <c r="M477" i="1"/>
  <c r="M899" i="1"/>
  <c r="M702" i="1"/>
  <c r="M503" i="1"/>
  <c r="M1136" i="1"/>
  <c r="M504" i="1"/>
  <c r="M553" i="1"/>
  <c r="M900" i="1"/>
  <c r="M478" i="1"/>
  <c r="M309" i="1"/>
  <c r="M1137" i="1"/>
  <c r="M412" i="1"/>
  <c r="M1138" i="1"/>
  <c r="M703" i="1"/>
  <c r="M50" i="1"/>
  <c r="M413" i="1"/>
  <c r="M119" i="1"/>
  <c r="M431" i="1"/>
  <c r="M1139" i="1"/>
  <c r="M704" i="1"/>
  <c r="M505" i="1"/>
  <c r="M40" i="1"/>
  <c r="M1140" i="1"/>
  <c r="M414" i="1"/>
  <c r="M385" i="1"/>
  <c r="M901" i="1"/>
  <c r="M705" i="1"/>
  <c r="M554" i="1"/>
  <c r="M451" i="1"/>
  <c r="M479" i="1"/>
  <c r="M432" i="1"/>
  <c r="M555" i="1"/>
  <c r="M506" i="1"/>
  <c r="M706" i="1"/>
  <c r="M507" i="1"/>
  <c r="M556" i="1"/>
  <c r="M902" i="1"/>
  <c r="M386" i="1"/>
  <c r="M73" i="1"/>
  <c r="M238" i="1"/>
  <c r="M143" i="1"/>
  <c r="M310" i="1"/>
  <c r="M44" i="1"/>
  <c r="M36" i="1"/>
  <c r="M415" i="1"/>
  <c r="M180" i="1"/>
  <c r="M120" i="1"/>
  <c r="M387" i="1"/>
  <c r="M388" i="1"/>
  <c r="M144" i="1"/>
  <c r="M239" i="1"/>
  <c r="M389" i="1"/>
  <c r="M240" i="1"/>
  <c r="M241" i="1"/>
  <c r="M311" i="1"/>
  <c r="M181" i="1"/>
  <c r="M242" i="1"/>
  <c r="M390" i="1"/>
  <c r="M145" i="1"/>
  <c r="M391" i="1"/>
  <c r="M243" i="1"/>
  <c r="M312" i="1"/>
  <c r="M313" i="1"/>
  <c r="M182" i="1"/>
  <c r="M183" i="1"/>
  <c r="M184" i="1"/>
  <c r="M314" i="1"/>
  <c r="M392" i="1"/>
  <c r="M315" i="1"/>
  <c r="M146" i="1"/>
  <c r="M185" i="1"/>
  <c r="M186" i="1"/>
  <c r="M316" i="1"/>
  <c r="M244" i="1"/>
  <c r="M121" i="1"/>
  <c r="M95" i="1"/>
  <c r="M245" i="1"/>
  <c r="M393" i="1"/>
  <c r="M187" i="1"/>
  <c r="M416" i="1"/>
  <c r="M96" i="1"/>
  <c r="M433" i="1"/>
  <c r="M434" i="1"/>
  <c r="M35" i="1"/>
  <c r="M246" i="1"/>
  <c r="M480" i="1"/>
  <c r="M28" i="1"/>
  <c r="M557" i="1"/>
  <c r="M188" i="1"/>
  <c r="M508" i="1"/>
  <c r="M20" i="1"/>
  <c r="M97" i="1"/>
  <c r="M1141" i="1"/>
  <c r="M147" i="1"/>
  <c r="M452" i="1"/>
  <c r="M481" i="1"/>
  <c r="M98" i="1"/>
  <c r="M148" i="1"/>
  <c r="M482" i="1"/>
  <c r="M417" i="1"/>
  <c r="M903" i="1"/>
  <c r="M453" i="1"/>
  <c r="M454" i="1"/>
  <c r="M558" i="1"/>
  <c r="M26" i="1"/>
  <c r="M16" i="1"/>
  <c r="M707" i="1"/>
  <c r="M455" i="1"/>
  <c r="M435" i="1"/>
  <c r="M559" i="1"/>
  <c r="M57" i="1"/>
  <c r="M483" i="1"/>
  <c r="M394" i="1"/>
  <c r="M509" i="1"/>
  <c r="M560" i="1"/>
  <c r="M1142" i="1"/>
  <c r="M12" i="1"/>
  <c r="M561" i="1"/>
  <c r="M99" i="1"/>
  <c r="M247" i="1"/>
  <c r="M904" i="1"/>
  <c r="M1143" i="1"/>
  <c r="M45" i="1"/>
  <c r="M149" i="1"/>
  <c r="M1144" i="1"/>
  <c r="M122" i="1"/>
  <c r="M436" i="1"/>
  <c r="M150" i="1"/>
  <c r="M708" i="1"/>
  <c r="M905" i="1"/>
  <c r="M395" i="1"/>
  <c r="M418" i="1"/>
  <c r="L510" i="1"/>
  <c r="O562" i="1"/>
  <c r="O906" i="1"/>
  <c r="O709" i="1"/>
  <c r="O563" i="1"/>
  <c r="O907" i="1"/>
  <c r="O710" i="1"/>
  <c r="O564" i="1"/>
  <c r="O711" i="1"/>
  <c r="O712" i="1"/>
  <c r="O908" i="1"/>
  <c r="O909" i="1"/>
  <c r="O910" i="1"/>
  <c r="O911" i="1"/>
  <c r="O565" i="1"/>
  <c r="O912" i="1"/>
  <c r="O713" i="1"/>
  <c r="O913" i="1"/>
  <c r="O714" i="1"/>
  <c r="O511" i="1"/>
  <c r="O914" i="1"/>
  <c r="O715" i="1"/>
  <c r="O716" i="1"/>
  <c r="O566" i="1"/>
  <c r="O915" i="1"/>
  <c r="O916" i="1"/>
  <c r="O567" i="1"/>
  <c r="O717" i="1"/>
  <c r="O568" i="1"/>
  <c r="O917" i="1"/>
  <c r="O918" i="1"/>
  <c r="O569" i="1"/>
  <c r="O718" i="1"/>
  <c r="O719" i="1"/>
  <c r="O570" i="1"/>
  <c r="O919" i="1"/>
  <c r="O571" i="1"/>
  <c r="O572" i="1"/>
  <c r="O720" i="1"/>
  <c r="O721" i="1"/>
  <c r="O920" i="1"/>
  <c r="O921" i="1"/>
  <c r="O722" i="1"/>
  <c r="O573" i="1"/>
  <c r="O922" i="1"/>
  <c r="O723" i="1"/>
  <c r="O724" i="1"/>
  <c r="O574" i="1"/>
  <c r="O725" i="1"/>
  <c r="O512" i="1"/>
  <c r="O575" i="1"/>
  <c r="O923" i="1"/>
  <c r="O726" i="1"/>
  <c r="O924" i="1"/>
  <c r="O925" i="1"/>
  <c r="O576" i="1"/>
  <c r="O727" i="1"/>
  <c r="O926" i="1"/>
  <c r="O927" i="1"/>
  <c r="O928" i="1"/>
  <c r="O484" i="1"/>
  <c r="O929" i="1"/>
  <c r="O930" i="1"/>
  <c r="O577" i="1"/>
  <c r="O578" i="1"/>
  <c r="O579" i="1"/>
  <c r="O931" i="1"/>
  <c r="O932" i="1"/>
  <c r="O728" i="1"/>
  <c r="O729" i="1"/>
  <c r="O730" i="1"/>
  <c r="O580" i="1"/>
  <c r="O933" i="1"/>
  <c r="O934" i="1"/>
  <c r="O935" i="1"/>
  <c r="O731" i="1"/>
  <c r="O936" i="1"/>
  <c r="O581" i="1"/>
  <c r="O937" i="1"/>
  <c r="O582" i="1"/>
  <c r="O938" i="1"/>
  <c r="O939" i="1"/>
  <c r="O732" i="1"/>
  <c r="O437" i="1"/>
  <c r="O583" i="1"/>
  <c r="O733" i="1"/>
  <c r="O584" i="1"/>
  <c r="O940" i="1"/>
  <c r="O585" i="1"/>
  <c r="O586" i="1"/>
  <c r="O438" i="1"/>
  <c r="O587" i="1"/>
  <c r="O734" i="1"/>
  <c r="O588" i="1"/>
  <c r="O941" i="1"/>
  <c r="O942" i="1"/>
  <c r="O943" i="1"/>
  <c r="O944" i="1"/>
  <c r="O945" i="1"/>
  <c r="O946" i="1"/>
  <c r="O735" i="1"/>
  <c r="O736" i="1"/>
  <c r="O947" i="1"/>
  <c r="O737" i="1"/>
  <c r="O738" i="1"/>
  <c r="O739" i="1"/>
  <c r="O740" i="1"/>
  <c r="O948" i="1"/>
  <c r="O741" i="1"/>
  <c r="O589" i="1"/>
  <c r="O742" i="1"/>
  <c r="O513" i="1"/>
  <c r="O743" i="1"/>
  <c r="O949" i="1"/>
  <c r="O950" i="1"/>
  <c r="O951" i="1"/>
  <c r="O744" i="1"/>
  <c r="O952" i="1"/>
  <c r="O953" i="1"/>
  <c r="O954" i="1"/>
  <c r="O745" i="1"/>
  <c r="O746" i="1"/>
  <c r="O955" i="1"/>
  <c r="O590" i="1"/>
  <c r="O747" i="1"/>
  <c r="O591" i="1"/>
  <c r="O748" i="1"/>
  <c r="O956" i="1"/>
  <c r="O957" i="1"/>
  <c r="O749" i="1"/>
  <c r="O750" i="1"/>
  <c r="O958" i="1"/>
  <c r="O959" i="1"/>
  <c r="O592" i="1"/>
  <c r="O960" i="1"/>
  <c r="O961" i="1"/>
  <c r="O593" i="1"/>
  <c r="O594" i="1"/>
  <c r="O514" i="1"/>
  <c r="O485" i="1"/>
  <c r="O595" i="1"/>
  <c r="O596" i="1"/>
  <c r="O962" i="1"/>
  <c r="O963" i="1"/>
  <c r="O964" i="1"/>
  <c r="O597" i="1"/>
  <c r="O456" i="1"/>
  <c r="O515" i="1"/>
  <c r="O598" i="1"/>
  <c r="O965" i="1"/>
  <c r="O751" i="1"/>
  <c r="O439" i="1"/>
  <c r="O752" i="1"/>
  <c r="O966" i="1"/>
  <c r="O967" i="1"/>
  <c r="O753" i="1"/>
  <c r="O599" i="1"/>
  <c r="O968" i="1"/>
  <c r="O969" i="1"/>
  <c r="O600" i="1"/>
  <c r="O601" i="1"/>
  <c r="O970" i="1"/>
  <c r="O602" i="1"/>
  <c r="O971" i="1"/>
  <c r="O972" i="1"/>
  <c r="O603" i="1"/>
  <c r="O604" i="1"/>
  <c r="O605" i="1"/>
  <c r="O754" i="1"/>
  <c r="O973" i="1"/>
  <c r="O974" i="1"/>
  <c r="O975" i="1"/>
  <c r="O976" i="1"/>
  <c r="O606" i="1"/>
  <c r="O607" i="1"/>
  <c r="O755" i="1"/>
  <c r="O977" i="1"/>
  <c r="O756" i="1"/>
  <c r="O757" i="1"/>
  <c r="O758" i="1"/>
  <c r="O978" i="1"/>
  <c r="O979" i="1"/>
  <c r="O980" i="1"/>
  <c r="O981" i="1"/>
  <c r="O982" i="1"/>
  <c r="O759" i="1"/>
  <c r="O760" i="1"/>
  <c r="O608" i="1"/>
  <c r="O761" i="1"/>
  <c r="O983" i="1"/>
  <c r="O762" i="1"/>
  <c r="O609" i="1"/>
  <c r="O763" i="1"/>
  <c r="O610" i="1"/>
  <c r="O764" i="1"/>
  <c r="O457" i="1"/>
  <c r="O765" i="1"/>
  <c r="O766" i="1"/>
  <c r="O516" i="1"/>
  <c r="O517" i="1"/>
  <c r="O767" i="1"/>
  <c r="O768" i="1"/>
  <c r="O611" i="1"/>
  <c r="O984" i="1"/>
  <c r="O985" i="1"/>
  <c r="O769" i="1"/>
  <c r="O612" i="1"/>
  <c r="O770" i="1"/>
  <c r="O771" i="1"/>
  <c r="O772" i="1"/>
  <c r="O773" i="1"/>
  <c r="O774" i="1"/>
  <c r="O518" i="1"/>
  <c r="O986" i="1"/>
  <c r="O775" i="1"/>
  <c r="O613" i="1"/>
  <c r="O987" i="1"/>
  <c r="O614" i="1"/>
  <c r="O615" i="1"/>
  <c r="O616" i="1"/>
  <c r="O776" i="1"/>
  <c r="O988" i="1"/>
  <c r="O989" i="1"/>
  <c r="O777" i="1"/>
  <c r="O990" i="1"/>
  <c r="O617" i="1"/>
  <c r="O778" i="1"/>
  <c r="O618" i="1"/>
  <c r="O779" i="1"/>
  <c r="O780" i="1"/>
  <c r="O781" i="1"/>
  <c r="O782" i="1"/>
  <c r="O783" i="1"/>
  <c r="O991" i="1"/>
  <c r="O784" i="1"/>
  <c r="O992" i="1"/>
  <c r="O785" i="1"/>
  <c r="O619" i="1"/>
  <c r="O786" i="1"/>
  <c r="O519" i="1"/>
  <c r="O520" i="1"/>
  <c r="O993" i="1"/>
  <c r="O787" i="1"/>
  <c r="O788" i="1"/>
  <c r="O620" i="1"/>
  <c r="O621" i="1"/>
  <c r="O994" i="1"/>
  <c r="O789" i="1"/>
  <c r="O995" i="1"/>
  <c r="O622" i="1"/>
  <c r="O996" i="1"/>
  <c r="O521" i="1"/>
  <c r="O623" i="1"/>
  <c r="O997" i="1"/>
  <c r="O790" i="1"/>
  <c r="O791" i="1"/>
  <c r="O998" i="1"/>
  <c r="O624" i="1"/>
  <c r="O792" i="1"/>
  <c r="O793" i="1"/>
  <c r="O794" i="1"/>
  <c r="O795" i="1"/>
  <c r="O796" i="1"/>
  <c r="O797" i="1"/>
  <c r="O798" i="1"/>
  <c r="O625" i="1"/>
  <c r="O999" i="1"/>
  <c r="O626" i="1"/>
  <c r="O1000" i="1"/>
  <c r="O1001" i="1"/>
  <c r="O1002" i="1"/>
  <c r="O627" i="1"/>
  <c r="O799" i="1"/>
  <c r="O1003" i="1"/>
  <c r="O1004" i="1"/>
  <c r="O628" i="1"/>
  <c r="O800" i="1"/>
  <c r="O629" i="1"/>
  <c r="O801" i="1"/>
  <c r="O630" i="1"/>
  <c r="O631" i="1"/>
  <c r="O1005" i="1"/>
  <c r="O632" i="1"/>
  <c r="O802" i="1"/>
  <c r="O522" i="1"/>
  <c r="O633" i="1"/>
  <c r="O1006" i="1"/>
  <c r="O803" i="1"/>
  <c r="O1007" i="1"/>
  <c r="O634" i="1"/>
  <c r="O635" i="1"/>
  <c r="O523" i="1"/>
  <c r="O1008" i="1"/>
  <c r="O804" i="1"/>
  <c r="O1009" i="1"/>
  <c r="O1010" i="1"/>
  <c r="O805" i="1"/>
  <c r="O636" i="1"/>
  <c r="O637" i="1"/>
  <c r="O806" i="1"/>
  <c r="O638" i="1"/>
  <c r="O1011" i="1"/>
  <c r="O1012" i="1"/>
  <c r="O1013" i="1"/>
  <c r="O807" i="1"/>
  <c r="O524" i="1"/>
  <c r="O1014" i="1"/>
  <c r="O808" i="1"/>
  <c r="O809" i="1"/>
  <c r="O810" i="1"/>
  <c r="O811" i="1"/>
  <c r="O639" i="1"/>
  <c r="O1015" i="1"/>
  <c r="O812" i="1"/>
  <c r="O1016" i="1"/>
  <c r="O640" i="1"/>
  <c r="O1017" i="1"/>
  <c r="O813" i="1"/>
  <c r="O641" i="1"/>
  <c r="O1018" i="1"/>
  <c r="O1019" i="1"/>
  <c r="O642" i="1"/>
  <c r="O814" i="1"/>
  <c r="O643" i="1"/>
  <c r="O815" i="1"/>
  <c r="O644" i="1"/>
  <c r="O1020" i="1"/>
  <c r="O816" i="1"/>
  <c r="O1021" i="1"/>
  <c r="O817" i="1"/>
  <c r="O818" i="1"/>
  <c r="O819" i="1"/>
  <c r="O1022" i="1"/>
  <c r="O820" i="1"/>
  <c r="O1023" i="1"/>
  <c r="O645" i="1"/>
  <c r="O646" i="1"/>
  <c r="O821" i="1"/>
  <c r="O525" i="1"/>
  <c r="O822" i="1"/>
  <c r="O823" i="1"/>
  <c r="O824" i="1"/>
  <c r="O825" i="1"/>
  <c r="O1024" i="1"/>
  <c r="O647" i="1"/>
  <c r="O826" i="1"/>
  <c r="O648" i="1"/>
  <c r="O827" i="1"/>
  <c r="O649" i="1"/>
  <c r="O1025" i="1"/>
  <c r="O828" i="1"/>
  <c r="O1026" i="1"/>
  <c r="O1027" i="1"/>
  <c r="O650" i="1"/>
  <c r="O1028" i="1"/>
  <c r="O526" i="1"/>
  <c r="O829" i="1"/>
  <c r="O1029" i="1"/>
  <c r="O830" i="1"/>
  <c r="O527" i="1"/>
  <c r="O1030" i="1"/>
  <c r="O651" i="1"/>
  <c r="O652" i="1"/>
  <c r="O1031" i="1"/>
  <c r="O1032" i="1"/>
  <c r="O1033" i="1"/>
  <c r="O1034" i="1"/>
  <c r="O1035" i="1"/>
  <c r="O831" i="1"/>
  <c r="O832" i="1"/>
  <c r="O653" i="1"/>
  <c r="O833" i="1"/>
  <c r="O654" i="1"/>
  <c r="O655" i="1"/>
  <c r="O834" i="1"/>
  <c r="O656" i="1"/>
  <c r="O835" i="1"/>
  <c r="O836" i="1"/>
  <c r="O837" i="1"/>
  <c r="O838" i="1"/>
  <c r="O839" i="1"/>
  <c r="O840" i="1"/>
  <c r="O841" i="1"/>
  <c r="O1036" i="1"/>
  <c r="O842" i="1"/>
  <c r="O843" i="1"/>
  <c r="O528" i="1"/>
  <c r="O657" i="1"/>
  <c r="O844" i="1"/>
  <c r="O1037" i="1"/>
  <c r="O1038" i="1"/>
  <c r="O845" i="1"/>
  <c r="O846" i="1"/>
  <c r="O1039" i="1"/>
  <c r="O1040" i="1"/>
  <c r="O847" i="1"/>
  <c r="O848" i="1"/>
  <c r="O658" i="1"/>
  <c r="O659" i="1"/>
  <c r="O660" i="1"/>
  <c r="O1041" i="1"/>
  <c r="O1042" i="1"/>
  <c r="O849" i="1"/>
  <c r="O1043" i="1"/>
  <c r="O850" i="1"/>
  <c r="O661" i="1"/>
  <c r="O662" i="1"/>
  <c r="O851" i="1"/>
  <c r="O1044" i="1"/>
  <c r="O663" i="1"/>
  <c r="O529" i="1"/>
  <c r="O1045" i="1"/>
  <c r="O1046" i="1"/>
  <c r="O1047" i="1"/>
  <c r="O664" i="1"/>
  <c r="O852" i="1"/>
  <c r="O853" i="1"/>
  <c r="O665" i="1"/>
  <c r="O854" i="1"/>
  <c r="O1048" i="1"/>
  <c r="O855" i="1"/>
  <c r="O1049" i="1"/>
  <c r="O856" i="1"/>
  <c r="O1050" i="1"/>
  <c r="O486" i="1"/>
  <c r="O1051" i="1"/>
  <c r="O857" i="1"/>
  <c r="O858" i="1"/>
  <c r="O859" i="1"/>
  <c r="O666" i="1"/>
  <c r="O860" i="1"/>
  <c r="O530" i="1"/>
  <c r="O1052" i="1"/>
  <c r="O1053" i="1"/>
  <c r="O1054" i="1"/>
  <c r="O1055" i="1"/>
  <c r="O1056" i="1"/>
  <c r="O1057" i="1"/>
  <c r="O861" i="1"/>
  <c r="O1058" i="1"/>
  <c r="O667" i="1"/>
  <c r="O668" i="1"/>
  <c r="O1059" i="1"/>
  <c r="O862" i="1"/>
  <c r="O1060" i="1"/>
  <c r="O863" i="1"/>
  <c r="O1061" i="1"/>
  <c r="O1062" i="1"/>
  <c r="O864" i="1"/>
  <c r="O1063" i="1"/>
  <c r="O1064" i="1"/>
  <c r="O1065" i="1"/>
  <c r="O1066" i="1"/>
  <c r="O1067" i="1"/>
  <c r="O1068" i="1"/>
  <c r="O1069" i="1"/>
  <c r="O1070" i="1"/>
  <c r="O1071" i="1"/>
  <c r="O487" i="1"/>
  <c r="O1072" i="1"/>
  <c r="O1073" i="1"/>
  <c r="O865" i="1"/>
  <c r="O1074" i="1"/>
  <c r="O1075" i="1"/>
  <c r="O1076" i="1"/>
  <c r="O669" i="1"/>
  <c r="O1077" i="1"/>
  <c r="O1078" i="1"/>
  <c r="O866" i="1"/>
  <c r="O1079" i="1"/>
  <c r="O1080" i="1"/>
  <c r="O1081" i="1"/>
  <c r="O458" i="1"/>
  <c r="O1082" i="1"/>
  <c r="O670" i="1"/>
  <c r="O671" i="1"/>
  <c r="O531" i="1"/>
  <c r="O672" i="1"/>
  <c r="O1083" i="1"/>
  <c r="O673" i="1"/>
  <c r="O532" i="1"/>
  <c r="O1084" i="1"/>
  <c r="O1085" i="1"/>
  <c r="O867" i="1"/>
  <c r="O488" i="1"/>
  <c r="O868" i="1"/>
  <c r="O674" i="1"/>
  <c r="O1086" i="1"/>
  <c r="O1087" i="1"/>
  <c r="O1088" i="1"/>
  <c r="O869" i="1"/>
  <c r="O1089" i="1"/>
  <c r="O675" i="1"/>
  <c r="O870" i="1"/>
  <c r="O871" i="1"/>
  <c r="O1090" i="1"/>
  <c r="O1091" i="1"/>
  <c r="O1092" i="1"/>
  <c r="O1093" i="1"/>
  <c r="O872" i="1"/>
  <c r="O1094" i="1"/>
  <c r="O873" i="1"/>
  <c r="O1095" i="1"/>
  <c r="O874" i="1"/>
  <c r="O875" i="1"/>
  <c r="O876" i="1"/>
  <c r="O1096" i="1"/>
  <c r="O1097" i="1"/>
  <c r="O676" i="1"/>
  <c r="O677" i="1"/>
  <c r="O1098" i="1"/>
  <c r="O1099" i="1"/>
  <c r="O678" i="1"/>
  <c r="O679" i="1"/>
  <c r="O877" i="1"/>
  <c r="O680" i="1"/>
  <c r="O1100" i="1"/>
  <c r="O1101" i="1"/>
  <c r="O4" i="1"/>
  <c r="O27" i="1"/>
  <c r="O1102" i="1"/>
  <c r="O74" i="1"/>
  <c r="O37" i="1"/>
  <c r="O317" i="1"/>
  <c r="O9" i="1"/>
  <c r="O2" i="1"/>
  <c r="O189" i="1"/>
  <c r="O51" i="1"/>
  <c r="O3" i="1"/>
  <c r="O75" i="1"/>
  <c r="O248" i="1"/>
  <c r="O6" i="1"/>
  <c r="O76" i="1"/>
  <c r="O100" i="1"/>
  <c r="O46" i="1"/>
  <c r="O318" i="1"/>
  <c r="O190" i="1"/>
  <c r="O41" i="1"/>
  <c r="O249" i="1"/>
  <c r="O58" i="1"/>
  <c r="O101" i="1"/>
  <c r="O191" i="1"/>
  <c r="O151" i="1"/>
  <c r="O192" i="1"/>
  <c r="O13" i="1"/>
  <c r="O250" i="1"/>
  <c r="O251" i="1"/>
  <c r="O152" i="1"/>
  <c r="O193" i="1"/>
  <c r="O153" i="1"/>
  <c r="O102" i="1"/>
  <c r="O319" i="1"/>
  <c r="O396" i="1"/>
  <c r="O320" i="1"/>
  <c r="O77" i="1"/>
  <c r="O321" i="1"/>
  <c r="O252" i="1"/>
  <c r="O78" i="1"/>
  <c r="O322" i="1"/>
  <c r="O103" i="1"/>
  <c r="O47" i="1"/>
  <c r="O14" i="1"/>
  <c r="O323" i="1"/>
  <c r="O324" i="1"/>
  <c r="O194" i="1"/>
  <c r="O325" i="1"/>
  <c r="O154" i="1"/>
  <c r="O195" i="1"/>
  <c r="O17" i="1"/>
  <c r="O123" i="1"/>
  <c r="O326" i="1"/>
  <c r="O66" i="1"/>
  <c r="O253" i="1"/>
  <c r="O327" i="1"/>
  <c r="O7" i="1"/>
  <c r="O31" i="1"/>
  <c r="O32" i="1"/>
  <c r="O10" i="1"/>
  <c r="O124" i="1"/>
  <c r="O8" i="1"/>
  <c r="O42" i="1"/>
  <c r="O397" i="1"/>
  <c r="O196" i="1"/>
  <c r="O398" i="1"/>
  <c r="O59" i="1"/>
  <c r="O104" i="1"/>
  <c r="O328" i="1"/>
  <c r="O1103" i="1"/>
  <c r="O155" i="1"/>
  <c r="O254" i="1"/>
  <c r="O329" i="1"/>
  <c r="O125" i="1"/>
  <c r="O330" i="1"/>
  <c r="O255" i="1"/>
  <c r="O197" i="1"/>
  <c r="O331" i="1"/>
  <c r="O156" i="1"/>
  <c r="O126" i="1"/>
  <c r="O256" i="1"/>
  <c r="O1104" i="1"/>
  <c r="O127" i="1"/>
  <c r="O332" i="1"/>
  <c r="O333" i="1"/>
  <c r="O60" i="1"/>
  <c r="O157" i="1"/>
  <c r="O334" i="1"/>
  <c r="O335" i="1"/>
  <c r="O158" i="1"/>
  <c r="O1105" i="1"/>
  <c r="O67" i="1"/>
  <c r="O198" i="1"/>
  <c r="O61" i="1"/>
  <c r="O199" i="1"/>
  <c r="O11" i="1"/>
  <c r="O68" i="1"/>
  <c r="O128" i="1"/>
  <c r="O399" i="1"/>
  <c r="O336" i="1"/>
  <c r="O1106" i="1"/>
  <c r="O159" i="1"/>
  <c r="O337" i="1"/>
  <c r="O33" i="1"/>
  <c r="O338" i="1"/>
  <c r="O52" i="1"/>
  <c r="O160" i="1"/>
  <c r="O200" i="1"/>
  <c r="O201" i="1"/>
  <c r="O79" i="1"/>
  <c r="O21" i="1"/>
  <c r="O257" i="1"/>
  <c r="O258" i="1"/>
  <c r="O161" i="1"/>
  <c r="O105" i="1"/>
  <c r="O339" i="1"/>
  <c r="O259" i="1"/>
  <c r="O53" i="1"/>
  <c r="O260" i="1"/>
  <c r="O69" i="1"/>
  <c r="O162" i="1"/>
  <c r="O106" i="1"/>
  <c r="O163" i="1"/>
  <c r="O340" i="1"/>
  <c r="O261" i="1"/>
  <c r="O262" i="1"/>
  <c r="O202" i="1"/>
  <c r="O80" i="1"/>
  <c r="O341" i="1"/>
  <c r="O342" i="1"/>
  <c r="O263" i="1"/>
  <c r="O343" i="1"/>
  <c r="O344" i="1"/>
  <c r="O129" i="1"/>
  <c r="O345" i="1"/>
  <c r="O346" i="1"/>
  <c r="O203" i="1"/>
  <c r="O419" i="1"/>
  <c r="O264" i="1"/>
  <c r="O265" i="1"/>
  <c r="O1107" i="1"/>
  <c r="O48" i="1"/>
  <c r="O204" i="1"/>
  <c r="O205" i="1"/>
  <c r="O25" i="1"/>
  <c r="O347" i="1"/>
  <c r="O130" i="1"/>
  <c r="O164" i="1"/>
  <c r="O206" i="1"/>
  <c r="O49" i="1"/>
  <c r="O70" i="1"/>
  <c r="O1108" i="1"/>
  <c r="O81" i="1"/>
  <c r="O34" i="1"/>
  <c r="O348" i="1"/>
  <c r="O165" i="1"/>
  <c r="O207" i="1"/>
  <c r="O349" i="1"/>
  <c r="O82" i="1"/>
  <c r="O62" i="1"/>
  <c r="O131" i="1"/>
  <c r="O266" i="1"/>
  <c r="O166" i="1"/>
  <c r="O132" i="1"/>
  <c r="O208" i="1"/>
  <c r="O267" i="1"/>
  <c r="O209" i="1"/>
  <c r="O210" i="1"/>
  <c r="O268" i="1"/>
  <c r="O269" i="1"/>
  <c r="O54" i="1"/>
  <c r="O83" i="1"/>
  <c r="O211" i="1"/>
  <c r="O350" i="1"/>
  <c r="O212" i="1"/>
  <c r="O213" i="1"/>
  <c r="O270" i="1"/>
  <c r="O271" i="1"/>
  <c r="O400" i="1"/>
  <c r="O214" i="1"/>
  <c r="O272" i="1"/>
  <c r="O84" i="1"/>
  <c r="O167" i="1"/>
  <c r="O215" i="1"/>
  <c r="O133" i="1"/>
  <c r="O107" i="1"/>
  <c r="O273" i="1"/>
  <c r="O38" i="1"/>
  <c r="O22" i="1"/>
  <c r="O85" i="1"/>
  <c r="O274" i="1"/>
  <c r="O134" i="1"/>
  <c r="O351" i="1"/>
  <c r="O71" i="1"/>
  <c r="O168" i="1"/>
  <c r="O275" i="1"/>
  <c r="O63" i="1"/>
  <c r="O169" i="1"/>
  <c r="O276" i="1"/>
  <c r="O86" i="1"/>
  <c r="O170" i="1"/>
  <c r="O1109" i="1"/>
  <c r="O277" i="1"/>
  <c r="O352" i="1"/>
  <c r="O353" i="1"/>
  <c r="O278" i="1"/>
  <c r="O354" i="1"/>
  <c r="O355" i="1"/>
  <c r="O356" i="1"/>
  <c r="O279" i="1"/>
  <c r="O280" i="1"/>
  <c r="O401" i="1"/>
  <c r="O171" i="1"/>
  <c r="O357" i="1"/>
  <c r="O172" i="1"/>
  <c r="O173" i="1"/>
  <c r="O358" i="1"/>
  <c r="O135" i="1"/>
  <c r="O136" i="1"/>
  <c r="O216" i="1"/>
  <c r="O217" i="1"/>
  <c r="O218" i="1"/>
  <c r="O281" i="1"/>
  <c r="O359" i="1"/>
  <c r="O108" i="1"/>
  <c r="O219" i="1"/>
  <c r="O402" i="1"/>
  <c r="O403" i="1"/>
  <c r="O220" i="1"/>
  <c r="O282" i="1"/>
  <c r="O283" i="1"/>
  <c r="O360" i="1"/>
  <c r="O221" i="1"/>
  <c r="O222" i="1"/>
  <c r="O361" i="1"/>
  <c r="O284" i="1"/>
  <c r="O285" i="1"/>
  <c r="O286" i="1"/>
  <c r="O362" i="1"/>
  <c r="O174" i="1"/>
  <c r="O223" i="1"/>
  <c r="O109" i="1"/>
  <c r="O29" i="1"/>
  <c r="O137" i="1"/>
  <c r="O224" i="1"/>
  <c r="O225" i="1"/>
  <c r="O287" i="1"/>
  <c r="O23" i="1"/>
  <c r="O87" i="1"/>
  <c r="O175" i="1"/>
  <c r="O55" i="1"/>
  <c r="O64" i="1"/>
  <c r="O288" i="1"/>
  <c r="O363" i="1"/>
  <c r="O72" i="1"/>
  <c r="O88" i="1"/>
  <c r="O138" i="1"/>
  <c r="O289" i="1"/>
  <c r="O364" i="1"/>
  <c r="O290" i="1"/>
  <c r="O176" i="1"/>
  <c r="O291" i="1"/>
  <c r="O292" i="1"/>
  <c r="O365" i="1"/>
  <c r="O293" i="1"/>
  <c r="O366" i="1"/>
  <c r="O367" i="1"/>
  <c r="O368" i="1"/>
  <c r="O404" i="1"/>
  <c r="O369" i="1"/>
  <c r="O370" i="1"/>
  <c r="O89" i="1"/>
  <c r="O294" i="1"/>
  <c r="O226" i="1"/>
  <c r="O371" i="1"/>
  <c r="O227" i="1"/>
  <c r="O228" i="1"/>
  <c r="O372" i="1"/>
  <c r="O295" i="1"/>
  <c r="O296" i="1"/>
  <c r="O229" i="1"/>
  <c r="O110" i="1"/>
  <c r="O373" i="1"/>
  <c r="O374" i="1"/>
  <c r="O230" i="1"/>
  <c r="O111" i="1"/>
  <c r="O297" i="1"/>
  <c r="O177" i="1"/>
  <c r="O18" i="1"/>
  <c r="O15" i="1"/>
  <c r="O375" i="1"/>
  <c r="O298" i="1"/>
  <c r="O231" i="1"/>
  <c r="O299" i="1"/>
  <c r="O178" i="1"/>
  <c r="O139" i="1"/>
  <c r="O90" i="1"/>
  <c r="O300" i="1"/>
  <c r="O301" i="1"/>
  <c r="O302" i="1"/>
  <c r="O405" i="1"/>
  <c r="O406" i="1"/>
  <c r="O232" i="1"/>
  <c r="O376" i="1"/>
  <c r="O377" i="1"/>
  <c r="O378" i="1"/>
  <c r="O379" i="1"/>
  <c r="O140" i="1"/>
  <c r="O878" i="1"/>
  <c r="O24" i="1"/>
  <c r="O420" i="1"/>
  <c r="O459" i="1"/>
  <c r="O112" i="1"/>
  <c r="O533" i="1"/>
  <c r="O303" i="1"/>
  <c r="O440" i="1"/>
  <c r="O441" i="1"/>
  <c r="O681" i="1"/>
  <c r="O489" i="1"/>
  <c r="O879" i="1"/>
  <c r="O1110" i="1"/>
  <c r="O1111" i="1"/>
  <c r="O490" i="1"/>
  <c r="O304" i="1"/>
  <c r="O460" i="1"/>
  <c r="O421" i="1"/>
  <c r="O91" i="1"/>
  <c r="O442" i="1"/>
  <c r="O422" i="1"/>
  <c r="O113" i="1"/>
  <c r="O443" i="1"/>
  <c r="O534" i="1"/>
  <c r="O461" i="1"/>
  <c r="O1112" i="1"/>
  <c r="O682" i="1"/>
  <c r="O491" i="1"/>
  <c r="O444" i="1"/>
  <c r="O1113" i="1"/>
  <c r="O683" i="1"/>
  <c r="O462" i="1"/>
  <c r="O463" i="1"/>
  <c r="O30" i="1"/>
  <c r="O5" i="1"/>
  <c r="O492" i="1"/>
  <c r="O305" i="1"/>
  <c r="O114" i="1"/>
  <c r="O1114" i="1"/>
  <c r="O179" i="1"/>
  <c r="O684" i="1"/>
  <c r="O19" i="1"/>
  <c r="O445" i="1"/>
  <c r="O1115" i="1"/>
  <c r="O56" i="1"/>
  <c r="O1116" i="1"/>
  <c r="O1117" i="1"/>
  <c r="O685" i="1"/>
  <c r="O880" i="1"/>
  <c r="O881" i="1"/>
  <c r="O141" i="1"/>
  <c r="O464" i="1"/>
  <c r="O1118" i="1"/>
  <c r="O92" i="1"/>
  <c r="O1119" i="1"/>
  <c r="O493" i="1"/>
  <c r="O1120" i="1"/>
  <c r="O882" i="1"/>
  <c r="O43" i="1"/>
  <c r="O883" i="1"/>
  <c r="O233" i="1"/>
  <c r="O535" i="1"/>
  <c r="O536" i="1"/>
  <c r="O142" i="1"/>
  <c r="O884" i="1"/>
  <c r="O885" i="1"/>
  <c r="O686" i="1"/>
  <c r="O465" i="1"/>
  <c r="O1121" i="1"/>
  <c r="O494" i="1"/>
  <c r="O687" i="1"/>
  <c r="O466" i="1"/>
  <c r="O886" i="1"/>
  <c r="O467" i="1"/>
  <c r="O688" i="1"/>
  <c r="O887" i="1"/>
  <c r="O537" i="1"/>
  <c r="O115" i="1"/>
  <c r="O468" i="1"/>
  <c r="O446" i="1"/>
  <c r="O888" i="1"/>
  <c r="O423" i="1"/>
  <c r="O306" i="1"/>
  <c r="O93" i="1"/>
  <c r="O469" i="1"/>
  <c r="O424" i="1"/>
  <c r="O94" i="1"/>
  <c r="O538" i="1"/>
  <c r="O539" i="1"/>
  <c r="O889" i="1"/>
  <c r="O540" i="1"/>
  <c r="O1122" i="1"/>
  <c r="O890" i="1"/>
  <c r="O689" i="1"/>
  <c r="O495" i="1"/>
  <c r="O1123" i="1"/>
  <c r="O891" i="1"/>
  <c r="O470" i="1"/>
  <c r="O425" i="1"/>
  <c r="O541" i="1"/>
  <c r="O496" i="1"/>
  <c r="O892" i="1"/>
  <c r="O1124" i="1"/>
  <c r="O542" i="1"/>
  <c r="O116" i="1"/>
  <c r="O690" i="1"/>
  <c r="O426" i="1"/>
  <c r="O39" i="1"/>
  <c r="O691" i="1"/>
  <c r="O543" i="1"/>
  <c r="O1125" i="1"/>
  <c r="O307" i="1"/>
  <c r="O447" i="1"/>
  <c r="O380" i="1"/>
  <c r="O1126" i="1"/>
  <c r="O471" i="1"/>
  <c r="O427" i="1"/>
  <c r="O448" i="1"/>
  <c r="O1127" i="1"/>
  <c r="O544" i="1"/>
  <c r="O545" i="1"/>
  <c r="O692" i="1"/>
  <c r="O234" i="1"/>
  <c r="O235" i="1"/>
  <c r="O693" i="1"/>
  <c r="O236" i="1"/>
  <c r="O694" i="1"/>
  <c r="O381" i="1"/>
  <c r="O472" i="1"/>
  <c r="O497" i="1"/>
  <c r="O1128" i="1"/>
  <c r="O498" i="1"/>
  <c r="O1129" i="1"/>
  <c r="O893" i="1"/>
  <c r="O1130" i="1"/>
  <c r="O1131" i="1"/>
  <c r="O1132" i="1"/>
  <c r="O382" i="1"/>
  <c r="O695" i="1"/>
  <c r="O696" i="1"/>
  <c r="O65" i="1"/>
  <c r="O697" i="1"/>
  <c r="O407" i="1"/>
  <c r="O408" i="1"/>
  <c r="O308" i="1"/>
  <c r="O546" i="1"/>
  <c r="O473" i="1"/>
  <c r="O409" i="1"/>
  <c r="O449" i="1"/>
  <c r="O428" i="1"/>
  <c r="O547" i="1"/>
  <c r="O474" i="1"/>
  <c r="O548" i="1"/>
  <c r="O894" i="1"/>
  <c r="O549" i="1"/>
  <c r="O895" i="1"/>
  <c r="O896" i="1"/>
  <c r="O550" i="1"/>
  <c r="O897" i="1"/>
  <c r="O499" i="1"/>
  <c r="O698" i="1"/>
  <c r="O383" i="1"/>
  <c r="O500" i="1"/>
  <c r="O1133" i="1"/>
  <c r="O475" i="1"/>
  <c r="O699" i="1"/>
  <c r="O450" i="1"/>
  <c r="O384" i="1"/>
  <c r="O429" i="1"/>
  <c r="O410" i="1"/>
  <c r="O551" i="1"/>
  <c r="O700" i="1"/>
  <c r="O701" i="1"/>
  <c r="O898" i="1"/>
  <c r="O552" i="1"/>
  <c r="O501" i="1"/>
  <c r="O117" i="1"/>
  <c r="O1134" i="1"/>
  <c r="O237" i="1"/>
  <c r="O1135" i="1"/>
  <c r="O411" i="1"/>
  <c r="O430" i="1"/>
  <c r="O502" i="1"/>
  <c r="O118" i="1"/>
  <c r="O476" i="1"/>
  <c r="O477" i="1"/>
  <c r="O899" i="1"/>
  <c r="O702" i="1"/>
  <c r="O503" i="1"/>
  <c r="O1136" i="1"/>
  <c r="O504" i="1"/>
  <c r="O553" i="1"/>
  <c r="O900" i="1"/>
  <c r="O478" i="1"/>
  <c r="O309" i="1"/>
  <c r="O1137" i="1"/>
  <c r="O412" i="1"/>
  <c r="O1138" i="1"/>
  <c r="O703" i="1"/>
  <c r="O50" i="1"/>
  <c r="O413" i="1"/>
  <c r="O119" i="1"/>
  <c r="O431" i="1"/>
  <c r="O1139" i="1"/>
  <c r="O704" i="1"/>
  <c r="O505" i="1"/>
  <c r="O40" i="1"/>
  <c r="O1140" i="1"/>
  <c r="O414" i="1"/>
  <c r="O385" i="1"/>
  <c r="O901" i="1"/>
  <c r="O705" i="1"/>
  <c r="O554" i="1"/>
  <c r="O451" i="1"/>
  <c r="O479" i="1"/>
  <c r="O432" i="1"/>
  <c r="O555" i="1"/>
  <c r="O506" i="1"/>
  <c r="O706" i="1"/>
  <c r="O507" i="1"/>
  <c r="O556" i="1"/>
  <c r="O902" i="1"/>
  <c r="O386" i="1"/>
  <c r="O73" i="1"/>
  <c r="O238" i="1"/>
  <c r="O143" i="1"/>
  <c r="O310" i="1"/>
  <c r="O44" i="1"/>
  <c r="O36" i="1"/>
  <c r="O415" i="1"/>
  <c r="O180" i="1"/>
  <c r="O120" i="1"/>
  <c r="O387" i="1"/>
  <c r="O388" i="1"/>
  <c r="O144" i="1"/>
  <c r="O239" i="1"/>
  <c r="O389" i="1"/>
  <c r="O240" i="1"/>
  <c r="O241" i="1"/>
  <c r="O311" i="1"/>
  <c r="O181" i="1"/>
  <c r="O242" i="1"/>
  <c r="O390" i="1"/>
  <c r="O145" i="1"/>
  <c r="O391" i="1"/>
  <c r="O243" i="1"/>
  <c r="O312" i="1"/>
  <c r="O313" i="1"/>
  <c r="O182" i="1"/>
  <c r="O183" i="1"/>
  <c r="O184" i="1"/>
  <c r="O314" i="1"/>
  <c r="O392" i="1"/>
  <c r="O315" i="1"/>
  <c r="O146" i="1"/>
  <c r="O185" i="1"/>
  <c r="O186" i="1"/>
  <c r="O316" i="1"/>
  <c r="O244" i="1"/>
  <c r="O121" i="1"/>
  <c r="O95" i="1"/>
  <c r="O245" i="1"/>
  <c r="O393" i="1"/>
  <c r="O187" i="1"/>
  <c r="O416" i="1"/>
  <c r="O96" i="1"/>
  <c r="O433" i="1"/>
  <c r="O434" i="1"/>
  <c r="O35" i="1"/>
  <c r="O246" i="1"/>
  <c r="O480" i="1"/>
  <c r="O28" i="1"/>
  <c r="O557" i="1"/>
  <c r="O188" i="1"/>
  <c r="O508" i="1"/>
  <c r="O20" i="1"/>
  <c r="O97" i="1"/>
  <c r="O1141" i="1"/>
  <c r="O147" i="1"/>
  <c r="O452" i="1"/>
  <c r="O481" i="1"/>
  <c r="O98" i="1"/>
  <c r="O148" i="1"/>
  <c r="O482" i="1"/>
  <c r="O417" i="1"/>
  <c r="O903" i="1"/>
  <c r="O453" i="1"/>
  <c r="O454" i="1"/>
  <c r="O558" i="1"/>
  <c r="O26" i="1"/>
  <c r="O16" i="1"/>
  <c r="O707" i="1"/>
  <c r="O455" i="1"/>
  <c r="O435" i="1"/>
  <c r="O559" i="1"/>
  <c r="O57" i="1"/>
  <c r="O483" i="1"/>
  <c r="O394" i="1"/>
  <c r="O509" i="1"/>
  <c r="O560" i="1"/>
  <c r="O1142" i="1"/>
  <c r="O12" i="1"/>
  <c r="O561" i="1"/>
  <c r="O99" i="1"/>
  <c r="O247" i="1"/>
  <c r="O904" i="1"/>
  <c r="O1143" i="1"/>
  <c r="O45" i="1"/>
  <c r="O149" i="1"/>
  <c r="O1144" i="1"/>
  <c r="O122" i="1"/>
  <c r="O436" i="1"/>
  <c r="O150" i="1"/>
  <c r="O708" i="1"/>
  <c r="O905" i="1"/>
  <c r="O395" i="1"/>
  <c r="O418" i="1"/>
  <c r="O510" i="1"/>
  <c r="N914" i="1"/>
  <c r="N912" i="1"/>
  <c r="N906" i="1"/>
  <c r="N562" i="1"/>
  <c r="N709" i="1"/>
  <c r="N563" i="1"/>
  <c r="N907" i="1"/>
  <c r="N710" i="1"/>
  <c r="N564" i="1"/>
  <c r="N711" i="1"/>
  <c r="N712" i="1"/>
  <c r="N908" i="1"/>
  <c r="N909" i="1"/>
  <c r="N910" i="1"/>
  <c r="N911" i="1"/>
  <c r="N565" i="1"/>
  <c r="N713" i="1"/>
  <c r="N913" i="1"/>
  <c r="N714" i="1"/>
  <c r="N511" i="1"/>
  <c r="N715" i="1"/>
  <c r="N716" i="1"/>
  <c r="N566" i="1"/>
  <c r="N915" i="1"/>
  <c r="N916" i="1"/>
  <c r="N567" i="1"/>
  <c r="N717" i="1"/>
  <c r="N568" i="1"/>
  <c r="N917" i="1"/>
  <c r="N918" i="1"/>
  <c r="N569" i="1"/>
  <c r="N718" i="1"/>
  <c r="N719" i="1"/>
  <c r="N570" i="1"/>
  <c r="N919" i="1"/>
  <c r="N571" i="1"/>
  <c r="N572" i="1"/>
  <c r="N720" i="1"/>
  <c r="N721" i="1"/>
  <c r="N920" i="1"/>
  <c r="N921" i="1"/>
  <c r="N722" i="1"/>
  <c r="N573" i="1"/>
  <c r="N922" i="1"/>
  <c r="N723" i="1"/>
  <c r="N724" i="1"/>
  <c r="N574" i="1"/>
  <c r="N725" i="1"/>
  <c r="N512" i="1"/>
  <c r="N575" i="1"/>
  <c r="N923" i="1"/>
  <c r="N726" i="1"/>
  <c r="N924" i="1"/>
  <c r="N925" i="1"/>
  <c r="N576" i="1"/>
  <c r="N727" i="1"/>
  <c r="N926" i="1"/>
  <c r="N927" i="1"/>
  <c r="N928" i="1"/>
  <c r="N484" i="1"/>
  <c r="N929" i="1"/>
  <c r="N930" i="1"/>
  <c r="N577" i="1"/>
  <c r="N578" i="1"/>
  <c r="N579" i="1"/>
  <c r="N931" i="1"/>
  <c r="N932" i="1"/>
  <c r="N728" i="1"/>
  <c r="N729" i="1"/>
  <c r="N730" i="1"/>
  <c r="N580" i="1"/>
  <c r="N933" i="1"/>
  <c r="N934" i="1"/>
  <c r="N935" i="1"/>
  <c r="N731" i="1"/>
  <c r="N936" i="1"/>
  <c r="N581" i="1"/>
  <c r="N937" i="1"/>
  <c r="N582" i="1"/>
  <c r="N938" i="1"/>
  <c r="N939" i="1"/>
  <c r="N732" i="1"/>
  <c r="N437" i="1"/>
  <c r="N583" i="1"/>
  <c r="N733" i="1"/>
  <c r="N584" i="1"/>
  <c r="N940" i="1"/>
  <c r="N585" i="1"/>
  <c r="N586" i="1"/>
  <c r="N438" i="1"/>
  <c r="N587" i="1"/>
  <c r="N734" i="1"/>
  <c r="N588" i="1"/>
  <c r="N941" i="1"/>
  <c r="N942" i="1"/>
  <c r="N943" i="1"/>
  <c r="N944" i="1"/>
  <c r="N945" i="1"/>
  <c r="N946" i="1"/>
  <c r="N735" i="1"/>
  <c r="N736" i="1"/>
  <c r="N947" i="1"/>
  <c r="N737" i="1"/>
  <c r="N738" i="1"/>
  <c r="N739" i="1"/>
  <c r="N740" i="1"/>
  <c r="N948" i="1"/>
  <c r="N741" i="1"/>
  <c r="N589" i="1"/>
  <c r="N742" i="1"/>
  <c r="N513" i="1"/>
  <c r="N743" i="1"/>
  <c r="N949" i="1"/>
  <c r="N950" i="1"/>
  <c r="N951" i="1"/>
  <c r="N744" i="1"/>
  <c r="N952" i="1"/>
  <c r="N953" i="1"/>
  <c r="N954" i="1"/>
  <c r="N745" i="1"/>
  <c r="N746" i="1"/>
  <c r="N955" i="1"/>
  <c r="N590" i="1"/>
  <c r="N747" i="1"/>
  <c r="N591" i="1"/>
  <c r="N748" i="1"/>
  <c r="N956" i="1"/>
  <c r="N957" i="1"/>
  <c r="N749" i="1"/>
  <c r="N750" i="1"/>
  <c r="N958" i="1"/>
  <c r="N959" i="1"/>
  <c r="N592" i="1"/>
  <c r="N960" i="1"/>
  <c r="N961" i="1"/>
  <c r="N593" i="1"/>
  <c r="N594" i="1"/>
  <c r="N514" i="1"/>
  <c r="N485" i="1"/>
  <c r="N595" i="1"/>
  <c r="N596" i="1"/>
  <c r="N962" i="1"/>
  <c r="N963" i="1"/>
  <c r="N964" i="1"/>
  <c r="N597" i="1"/>
  <c r="N456" i="1"/>
  <c r="N515" i="1"/>
  <c r="N598" i="1"/>
  <c r="N965" i="1"/>
  <c r="N751" i="1"/>
  <c r="N439" i="1"/>
  <c r="N752" i="1"/>
  <c r="N966" i="1"/>
  <c r="N967" i="1"/>
  <c r="N753" i="1"/>
  <c r="N599" i="1"/>
  <c r="N968" i="1"/>
  <c r="N969" i="1"/>
  <c r="N600" i="1"/>
  <c r="N601" i="1"/>
  <c r="N970" i="1"/>
  <c r="N602" i="1"/>
  <c r="N971" i="1"/>
  <c r="N972" i="1"/>
  <c r="N603" i="1"/>
  <c r="N604" i="1"/>
  <c r="N605" i="1"/>
  <c r="N754" i="1"/>
  <c r="N973" i="1"/>
  <c r="N974" i="1"/>
  <c r="N975" i="1"/>
  <c r="N976" i="1"/>
  <c r="N606" i="1"/>
  <c r="N607" i="1"/>
  <c r="N755" i="1"/>
  <c r="N977" i="1"/>
  <c r="N756" i="1"/>
  <c r="N757" i="1"/>
  <c r="N758" i="1"/>
  <c r="N978" i="1"/>
  <c r="N979" i="1"/>
  <c r="N980" i="1"/>
  <c r="N981" i="1"/>
  <c r="N982" i="1"/>
  <c r="N759" i="1"/>
  <c r="N760" i="1"/>
  <c r="N608" i="1"/>
  <c r="N761" i="1"/>
  <c r="N983" i="1"/>
  <c r="N762" i="1"/>
  <c r="N609" i="1"/>
  <c r="N763" i="1"/>
  <c r="N610" i="1"/>
  <c r="N764" i="1"/>
  <c r="N457" i="1"/>
  <c r="N765" i="1"/>
  <c r="N766" i="1"/>
  <c r="N516" i="1"/>
  <c r="N517" i="1"/>
  <c r="N767" i="1"/>
  <c r="N768" i="1"/>
  <c r="N611" i="1"/>
  <c r="N984" i="1"/>
  <c r="N985" i="1"/>
  <c r="N769" i="1"/>
  <c r="N612" i="1"/>
  <c r="N770" i="1"/>
  <c r="N771" i="1"/>
  <c r="N772" i="1"/>
  <c r="N773" i="1"/>
  <c r="N774" i="1"/>
  <c r="N518" i="1"/>
  <c r="N986" i="1"/>
  <c r="N775" i="1"/>
  <c r="N613" i="1"/>
  <c r="N987" i="1"/>
  <c r="N614" i="1"/>
  <c r="N615" i="1"/>
  <c r="N616" i="1"/>
  <c r="N776" i="1"/>
  <c r="N988" i="1"/>
  <c r="N989" i="1"/>
  <c r="N777" i="1"/>
  <c r="N990" i="1"/>
  <c r="N617" i="1"/>
  <c r="N778" i="1"/>
  <c r="N618" i="1"/>
  <c r="N779" i="1"/>
  <c r="N780" i="1"/>
  <c r="N781" i="1"/>
  <c r="N782" i="1"/>
  <c r="N783" i="1"/>
  <c r="N991" i="1"/>
  <c r="N784" i="1"/>
  <c r="N992" i="1"/>
  <c r="N785" i="1"/>
  <c r="N619" i="1"/>
  <c r="N786" i="1"/>
  <c r="N519" i="1"/>
  <c r="N520" i="1"/>
  <c r="N993" i="1"/>
  <c r="N787" i="1"/>
  <c r="N788" i="1"/>
  <c r="N620" i="1"/>
  <c r="N621" i="1"/>
  <c r="N994" i="1"/>
  <c r="N789" i="1"/>
  <c r="N995" i="1"/>
  <c r="N622" i="1"/>
  <c r="N996" i="1"/>
  <c r="N521" i="1"/>
  <c r="N623" i="1"/>
  <c r="N997" i="1"/>
  <c r="N790" i="1"/>
  <c r="N791" i="1"/>
  <c r="N998" i="1"/>
  <c r="N624" i="1"/>
  <c r="N792" i="1"/>
  <c r="N793" i="1"/>
  <c r="N794" i="1"/>
  <c r="N795" i="1"/>
  <c r="N796" i="1"/>
  <c r="N797" i="1"/>
  <c r="N798" i="1"/>
  <c r="N625" i="1"/>
  <c r="N999" i="1"/>
  <c r="N626" i="1"/>
  <c r="N1000" i="1"/>
  <c r="N1001" i="1"/>
  <c r="N1002" i="1"/>
  <c r="N627" i="1"/>
  <c r="N799" i="1"/>
  <c r="N1003" i="1"/>
  <c r="N1004" i="1"/>
  <c r="N628" i="1"/>
  <c r="N800" i="1"/>
  <c r="N629" i="1"/>
  <c r="N801" i="1"/>
  <c r="N630" i="1"/>
  <c r="N631" i="1"/>
  <c r="N1005" i="1"/>
  <c r="N632" i="1"/>
  <c r="N802" i="1"/>
  <c r="N522" i="1"/>
  <c r="N633" i="1"/>
  <c r="N1006" i="1"/>
  <c r="N803" i="1"/>
  <c r="N1007" i="1"/>
  <c r="N634" i="1"/>
  <c r="N635" i="1"/>
  <c r="N523" i="1"/>
  <c r="N1008" i="1"/>
  <c r="N804" i="1"/>
  <c r="N1009" i="1"/>
  <c r="N1010" i="1"/>
  <c r="N805" i="1"/>
  <c r="N636" i="1"/>
  <c r="N637" i="1"/>
  <c r="N806" i="1"/>
  <c r="N638" i="1"/>
  <c r="N1011" i="1"/>
  <c r="N1012" i="1"/>
  <c r="N1013" i="1"/>
  <c r="N807" i="1"/>
  <c r="N524" i="1"/>
  <c r="N1014" i="1"/>
  <c r="N808" i="1"/>
  <c r="N809" i="1"/>
  <c r="N810" i="1"/>
  <c r="N811" i="1"/>
  <c r="N639" i="1"/>
  <c r="N1015" i="1"/>
  <c r="N812" i="1"/>
  <c r="N1016" i="1"/>
  <c r="N640" i="1"/>
  <c r="N1017" i="1"/>
  <c r="N813" i="1"/>
  <c r="N641" i="1"/>
  <c r="N1018" i="1"/>
  <c r="N1019" i="1"/>
  <c r="N642" i="1"/>
  <c r="N814" i="1"/>
  <c r="N643" i="1"/>
  <c r="N815" i="1"/>
  <c r="N644" i="1"/>
  <c r="N1020" i="1"/>
  <c r="N816" i="1"/>
  <c r="N1021" i="1"/>
  <c r="N817" i="1"/>
  <c r="N818" i="1"/>
  <c r="N819" i="1"/>
  <c r="N1022" i="1"/>
  <c r="N820" i="1"/>
  <c r="N1023" i="1"/>
  <c r="N645" i="1"/>
  <c r="N646" i="1"/>
  <c r="N821" i="1"/>
  <c r="N525" i="1"/>
  <c r="N822" i="1"/>
  <c r="N823" i="1"/>
  <c r="N824" i="1"/>
  <c r="N825" i="1"/>
  <c r="N1024" i="1"/>
  <c r="N647" i="1"/>
  <c r="N826" i="1"/>
  <c r="N648" i="1"/>
  <c r="N827" i="1"/>
  <c r="N649" i="1"/>
  <c r="N1025" i="1"/>
  <c r="N828" i="1"/>
  <c r="N1026" i="1"/>
  <c r="N1027" i="1"/>
  <c r="N650" i="1"/>
  <c r="N1028" i="1"/>
  <c r="N526" i="1"/>
  <c r="N829" i="1"/>
  <c r="N1029" i="1"/>
  <c r="N830" i="1"/>
  <c r="N527" i="1"/>
  <c r="N1030" i="1"/>
  <c r="N651" i="1"/>
  <c r="N652" i="1"/>
  <c r="N1031" i="1"/>
  <c r="N1032" i="1"/>
  <c r="N1033" i="1"/>
  <c r="N1034" i="1"/>
  <c r="N1035" i="1"/>
  <c r="N831" i="1"/>
  <c r="N832" i="1"/>
  <c r="N653" i="1"/>
  <c r="N833" i="1"/>
  <c r="N654" i="1"/>
  <c r="N655" i="1"/>
  <c r="N834" i="1"/>
  <c r="N656" i="1"/>
  <c r="N835" i="1"/>
  <c r="N836" i="1"/>
  <c r="N837" i="1"/>
  <c r="N838" i="1"/>
  <c r="N839" i="1"/>
  <c r="N840" i="1"/>
  <c r="N841" i="1"/>
  <c r="N1036" i="1"/>
  <c r="N842" i="1"/>
  <c r="N843" i="1"/>
  <c r="N528" i="1"/>
  <c r="N657" i="1"/>
  <c r="N844" i="1"/>
  <c r="N1037" i="1"/>
  <c r="N1038" i="1"/>
  <c r="N845" i="1"/>
  <c r="N846" i="1"/>
  <c r="N1039" i="1"/>
  <c r="N1040" i="1"/>
  <c r="N847" i="1"/>
  <c r="N848" i="1"/>
  <c r="N658" i="1"/>
  <c r="N659" i="1"/>
  <c r="N660" i="1"/>
  <c r="N1041" i="1"/>
  <c r="N1042" i="1"/>
  <c r="N849" i="1"/>
  <c r="N1043" i="1"/>
  <c r="N850" i="1"/>
  <c r="N661" i="1"/>
  <c r="N662" i="1"/>
  <c r="N851" i="1"/>
  <c r="N1044" i="1"/>
  <c r="N663" i="1"/>
  <c r="N529" i="1"/>
  <c r="N1045" i="1"/>
  <c r="N1046" i="1"/>
  <c r="N1047" i="1"/>
  <c r="N664" i="1"/>
  <c r="N852" i="1"/>
  <c r="N853" i="1"/>
  <c r="N665" i="1"/>
  <c r="N854" i="1"/>
  <c r="N1048" i="1"/>
  <c r="N855" i="1"/>
  <c r="N1049" i="1"/>
  <c r="N856" i="1"/>
  <c r="N1050" i="1"/>
  <c r="N486" i="1"/>
  <c r="N1051" i="1"/>
  <c r="N857" i="1"/>
  <c r="N858" i="1"/>
  <c r="N859" i="1"/>
  <c r="N666" i="1"/>
  <c r="N860" i="1"/>
  <c r="N530" i="1"/>
  <c r="N1052" i="1"/>
  <c r="N1053" i="1"/>
  <c r="N1054" i="1"/>
  <c r="N1055" i="1"/>
  <c r="N1056" i="1"/>
  <c r="N1057" i="1"/>
  <c r="N861" i="1"/>
  <c r="N1058" i="1"/>
  <c r="N667" i="1"/>
  <c r="N668" i="1"/>
  <c r="N1059" i="1"/>
  <c r="N862" i="1"/>
  <c r="N1060" i="1"/>
  <c r="N863" i="1"/>
  <c r="N1061" i="1"/>
  <c r="N1062" i="1"/>
  <c r="N864" i="1"/>
  <c r="N1063" i="1"/>
  <c r="N1064" i="1"/>
  <c r="N1065" i="1"/>
  <c r="N1066" i="1"/>
  <c r="N1067" i="1"/>
  <c r="N1068" i="1"/>
  <c r="N1069" i="1"/>
  <c r="N1070" i="1"/>
  <c r="N1071" i="1"/>
  <c r="N487" i="1"/>
  <c r="N1072" i="1"/>
  <c r="N1073" i="1"/>
  <c r="N865" i="1"/>
  <c r="N1074" i="1"/>
  <c r="N1075" i="1"/>
  <c r="N1076" i="1"/>
  <c r="N669" i="1"/>
  <c r="N1077" i="1"/>
  <c r="N1078" i="1"/>
  <c r="N866" i="1"/>
  <c r="N1079" i="1"/>
  <c r="N1080" i="1"/>
  <c r="N1081" i="1"/>
  <c r="N458" i="1"/>
  <c r="N1082" i="1"/>
  <c r="N670" i="1"/>
  <c r="N671" i="1"/>
  <c r="N531" i="1"/>
  <c r="N672" i="1"/>
  <c r="N1083" i="1"/>
  <c r="N673" i="1"/>
  <c r="N532" i="1"/>
  <c r="N1084" i="1"/>
  <c r="N1085" i="1"/>
  <c r="N867" i="1"/>
  <c r="N488" i="1"/>
  <c r="N868" i="1"/>
  <c r="N674" i="1"/>
  <c r="N1086" i="1"/>
  <c r="N1087" i="1"/>
  <c r="N1088" i="1"/>
  <c r="N869" i="1"/>
  <c r="N1089" i="1"/>
  <c r="N675" i="1"/>
  <c r="N870" i="1"/>
  <c r="N871" i="1"/>
  <c r="N1090" i="1"/>
  <c r="N1091" i="1"/>
  <c r="N1092" i="1"/>
  <c r="N1093" i="1"/>
  <c r="N872" i="1"/>
  <c r="N1094" i="1"/>
  <c r="N873" i="1"/>
  <c r="N1095" i="1"/>
  <c r="N874" i="1"/>
  <c r="N875" i="1"/>
  <c r="N876" i="1"/>
  <c r="N1096" i="1"/>
  <c r="N1097" i="1"/>
  <c r="N676" i="1"/>
  <c r="N677" i="1"/>
  <c r="N1098" i="1"/>
  <c r="N1099" i="1"/>
  <c r="N678" i="1"/>
  <c r="N679" i="1"/>
  <c r="N877" i="1"/>
  <c r="N680" i="1"/>
  <c r="N1100" i="1"/>
  <c r="N1101" i="1"/>
  <c r="N4" i="1"/>
  <c r="N27" i="1"/>
  <c r="N1102" i="1"/>
  <c r="N74" i="1"/>
  <c r="N37" i="1"/>
  <c r="N317" i="1"/>
  <c r="N9" i="1"/>
  <c r="N2" i="1"/>
  <c r="N189" i="1"/>
  <c r="N51" i="1"/>
  <c r="N3" i="1"/>
  <c r="N75" i="1"/>
  <c r="N248" i="1"/>
  <c r="N6" i="1"/>
  <c r="N76" i="1"/>
  <c r="N100" i="1"/>
  <c r="N46" i="1"/>
  <c r="N318" i="1"/>
  <c r="N190" i="1"/>
  <c r="N41" i="1"/>
  <c r="N249" i="1"/>
  <c r="N58" i="1"/>
  <c r="N101" i="1"/>
  <c r="N191" i="1"/>
  <c r="N151" i="1"/>
  <c r="N192" i="1"/>
  <c r="N13" i="1"/>
  <c r="N250" i="1"/>
  <c r="N251" i="1"/>
  <c r="N152" i="1"/>
  <c r="N193" i="1"/>
  <c r="N153" i="1"/>
  <c r="N102" i="1"/>
  <c r="N319" i="1"/>
  <c r="N396" i="1"/>
  <c r="N320" i="1"/>
  <c r="N77" i="1"/>
  <c r="N321" i="1"/>
  <c r="N252" i="1"/>
  <c r="N78" i="1"/>
  <c r="N322" i="1"/>
  <c r="N103" i="1"/>
  <c r="N47" i="1"/>
  <c r="N14" i="1"/>
  <c r="N323" i="1"/>
  <c r="N324" i="1"/>
  <c r="N194" i="1"/>
  <c r="N325" i="1"/>
  <c r="N154" i="1"/>
  <c r="N195" i="1"/>
  <c r="N17" i="1"/>
  <c r="N123" i="1"/>
  <c r="N326" i="1"/>
  <c r="N66" i="1"/>
  <c r="N253" i="1"/>
  <c r="N327" i="1"/>
  <c r="N7" i="1"/>
  <c r="N31" i="1"/>
  <c r="N32" i="1"/>
  <c r="N10" i="1"/>
  <c r="N124" i="1"/>
  <c r="N8" i="1"/>
  <c r="N42" i="1"/>
  <c r="N397" i="1"/>
  <c r="N196" i="1"/>
  <c r="N398" i="1"/>
  <c r="N59" i="1"/>
  <c r="N104" i="1"/>
  <c r="N328" i="1"/>
  <c r="N1103" i="1"/>
  <c r="N155" i="1"/>
  <c r="N254" i="1"/>
  <c r="N329" i="1"/>
  <c r="N125" i="1"/>
  <c r="N330" i="1"/>
  <c r="N255" i="1"/>
  <c r="N197" i="1"/>
  <c r="N331" i="1"/>
  <c r="N156" i="1"/>
  <c r="N126" i="1"/>
  <c r="N256" i="1"/>
  <c r="N1104" i="1"/>
  <c r="N127" i="1"/>
  <c r="N332" i="1"/>
  <c r="N333" i="1"/>
  <c r="N60" i="1"/>
  <c r="N157" i="1"/>
  <c r="N334" i="1"/>
  <c r="N335" i="1"/>
  <c r="N158" i="1"/>
  <c r="N1105" i="1"/>
  <c r="N67" i="1"/>
  <c r="N198" i="1"/>
  <c r="N61" i="1"/>
  <c r="N199" i="1"/>
  <c r="N11" i="1"/>
  <c r="N68" i="1"/>
  <c r="N128" i="1"/>
  <c r="N399" i="1"/>
  <c r="N336" i="1"/>
  <c r="N1106" i="1"/>
  <c r="N159" i="1"/>
  <c r="N337" i="1"/>
  <c r="N33" i="1"/>
  <c r="N338" i="1"/>
  <c r="N52" i="1"/>
  <c r="N160" i="1"/>
  <c r="N200" i="1"/>
  <c r="N201" i="1"/>
  <c r="N79" i="1"/>
  <c r="N21" i="1"/>
  <c r="N257" i="1"/>
  <c r="N258" i="1"/>
  <c r="N161" i="1"/>
  <c r="N105" i="1"/>
  <c r="N339" i="1"/>
  <c r="N259" i="1"/>
  <c r="N53" i="1"/>
  <c r="N260" i="1"/>
  <c r="N69" i="1"/>
  <c r="N162" i="1"/>
  <c r="N106" i="1"/>
  <c r="N163" i="1"/>
  <c r="N340" i="1"/>
  <c r="N261" i="1"/>
  <c r="N262" i="1"/>
  <c r="N202" i="1"/>
  <c r="N80" i="1"/>
  <c r="N341" i="1"/>
  <c r="N342" i="1"/>
  <c r="N263" i="1"/>
  <c r="N343" i="1"/>
  <c r="N344" i="1"/>
  <c r="N129" i="1"/>
  <c r="N345" i="1"/>
  <c r="N346" i="1"/>
  <c r="N203" i="1"/>
  <c r="N419" i="1"/>
  <c r="N264" i="1"/>
  <c r="N265" i="1"/>
  <c r="N1107" i="1"/>
  <c r="N48" i="1"/>
  <c r="N204" i="1"/>
  <c r="N205" i="1"/>
  <c r="N25" i="1"/>
  <c r="N347" i="1"/>
  <c r="N130" i="1"/>
  <c r="N164" i="1"/>
  <c r="N206" i="1"/>
  <c r="N49" i="1"/>
  <c r="N70" i="1"/>
  <c r="N1108" i="1"/>
  <c r="N81" i="1"/>
  <c r="N34" i="1"/>
  <c r="N348" i="1"/>
  <c r="N165" i="1"/>
  <c r="N207" i="1"/>
  <c r="N349" i="1"/>
  <c r="N82" i="1"/>
  <c r="N62" i="1"/>
  <c r="N131" i="1"/>
  <c r="N266" i="1"/>
  <c r="N166" i="1"/>
  <c r="N132" i="1"/>
  <c r="N208" i="1"/>
  <c r="N267" i="1"/>
  <c r="N209" i="1"/>
  <c r="N210" i="1"/>
  <c r="N268" i="1"/>
  <c r="N269" i="1"/>
  <c r="N54" i="1"/>
  <c r="N83" i="1"/>
  <c r="N211" i="1"/>
  <c r="N350" i="1"/>
  <c r="N212" i="1"/>
  <c r="N213" i="1"/>
  <c r="N270" i="1"/>
  <c r="N271" i="1"/>
  <c r="N400" i="1"/>
  <c r="N214" i="1"/>
  <c r="N272" i="1"/>
  <c r="N84" i="1"/>
  <c r="N167" i="1"/>
  <c r="N215" i="1"/>
  <c r="N133" i="1"/>
  <c r="N107" i="1"/>
  <c r="N273" i="1"/>
  <c r="N38" i="1"/>
  <c r="N22" i="1"/>
  <c r="N85" i="1"/>
  <c r="N274" i="1"/>
  <c r="N134" i="1"/>
  <c r="N351" i="1"/>
  <c r="N71" i="1"/>
  <c r="N168" i="1"/>
  <c r="N275" i="1"/>
  <c r="N63" i="1"/>
  <c r="N169" i="1"/>
  <c r="N276" i="1"/>
  <c r="N86" i="1"/>
  <c r="N170" i="1"/>
  <c r="N1109" i="1"/>
  <c r="N277" i="1"/>
  <c r="N352" i="1"/>
  <c r="N353" i="1"/>
  <c r="N278" i="1"/>
  <c r="N354" i="1"/>
  <c r="N355" i="1"/>
  <c r="N356" i="1"/>
  <c r="N279" i="1"/>
  <c r="N280" i="1"/>
  <c r="N401" i="1"/>
  <c r="N171" i="1"/>
  <c r="N357" i="1"/>
  <c r="N172" i="1"/>
  <c r="N173" i="1"/>
  <c r="N358" i="1"/>
  <c r="N135" i="1"/>
  <c r="N136" i="1"/>
  <c r="N216" i="1"/>
  <c r="N217" i="1"/>
  <c r="N218" i="1"/>
  <c r="N281" i="1"/>
  <c r="N359" i="1"/>
  <c r="N108" i="1"/>
  <c r="N219" i="1"/>
  <c r="N402" i="1"/>
  <c r="N403" i="1"/>
  <c r="N220" i="1"/>
  <c r="N282" i="1"/>
  <c r="N283" i="1"/>
  <c r="N360" i="1"/>
  <c r="N221" i="1"/>
  <c r="N222" i="1"/>
  <c r="N361" i="1"/>
  <c r="N284" i="1"/>
  <c r="N285" i="1"/>
  <c r="N286" i="1"/>
  <c r="N362" i="1"/>
  <c r="N174" i="1"/>
  <c r="N223" i="1"/>
  <c r="N109" i="1"/>
  <c r="N29" i="1"/>
  <c r="N137" i="1"/>
  <c r="N224" i="1"/>
  <c r="N225" i="1"/>
  <c r="N287" i="1"/>
  <c r="N23" i="1"/>
  <c r="N87" i="1"/>
  <c r="N175" i="1"/>
  <c r="N55" i="1"/>
  <c r="N64" i="1"/>
  <c r="N288" i="1"/>
  <c r="N363" i="1"/>
  <c r="N72" i="1"/>
  <c r="N88" i="1"/>
  <c r="N138" i="1"/>
  <c r="N289" i="1"/>
  <c r="N364" i="1"/>
  <c r="N290" i="1"/>
  <c r="N176" i="1"/>
  <c r="N291" i="1"/>
  <c r="N292" i="1"/>
  <c r="N365" i="1"/>
  <c r="N293" i="1"/>
  <c r="N366" i="1"/>
  <c r="N367" i="1"/>
  <c r="N368" i="1"/>
  <c r="N404" i="1"/>
  <c r="N369" i="1"/>
  <c r="N370" i="1"/>
  <c r="N89" i="1"/>
  <c r="N294" i="1"/>
  <c r="N226" i="1"/>
  <c r="N371" i="1"/>
  <c r="N227" i="1"/>
  <c r="N228" i="1"/>
  <c r="N372" i="1"/>
  <c r="N295" i="1"/>
  <c r="N296" i="1"/>
  <c r="N229" i="1"/>
  <c r="N110" i="1"/>
  <c r="N373" i="1"/>
  <c r="N374" i="1"/>
  <c r="N230" i="1"/>
  <c r="N111" i="1"/>
  <c r="N297" i="1"/>
  <c r="N177" i="1"/>
  <c r="N18" i="1"/>
  <c r="N15" i="1"/>
  <c r="N375" i="1"/>
  <c r="N298" i="1"/>
  <c r="N231" i="1"/>
  <c r="N299" i="1"/>
  <c r="N178" i="1"/>
  <c r="N139" i="1"/>
  <c r="N90" i="1"/>
  <c r="N300" i="1"/>
  <c r="N301" i="1"/>
  <c r="N302" i="1"/>
  <c r="N405" i="1"/>
  <c r="N406" i="1"/>
  <c r="N232" i="1"/>
  <c r="N376" i="1"/>
  <c r="N377" i="1"/>
  <c r="N378" i="1"/>
  <c r="N379" i="1"/>
  <c r="N140" i="1"/>
  <c r="N878" i="1"/>
  <c r="N24" i="1"/>
  <c r="N420" i="1"/>
  <c r="N459" i="1"/>
  <c r="N112" i="1"/>
  <c r="N533" i="1"/>
  <c r="N303" i="1"/>
  <c r="N440" i="1"/>
  <c r="N441" i="1"/>
  <c r="N681" i="1"/>
  <c r="N489" i="1"/>
  <c r="N879" i="1"/>
  <c r="N1110" i="1"/>
  <c r="N1111" i="1"/>
  <c r="N490" i="1"/>
  <c r="N304" i="1"/>
  <c r="N460" i="1"/>
  <c r="N421" i="1"/>
  <c r="N91" i="1"/>
  <c r="N442" i="1"/>
  <c r="N422" i="1"/>
  <c r="N113" i="1"/>
  <c r="N443" i="1"/>
  <c r="N534" i="1"/>
  <c r="N461" i="1"/>
  <c r="N1112" i="1"/>
  <c r="N682" i="1"/>
  <c r="N491" i="1"/>
  <c r="N444" i="1"/>
  <c r="N1113" i="1"/>
  <c r="N683" i="1"/>
  <c r="N462" i="1"/>
  <c r="N463" i="1"/>
  <c r="N30" i="1"/>
  <c r="N5" i="1"/>
  <c r="N492" i="1"/>
  <c r="N305" i="1"/>
  <c r="N114" i="1"/>
  <c r="N1114" i="1"/>
  <c r="N179" i="1"/>
  <c r="N684" i="1"/>
  <c r="N19" i="1"/>
  <c r="N445" i="1"/>
  <c r="N1115" i="1"/>
  <c r="N56" i="1"/>
  <c r="N1116" i="1"/>
  <c r="N1117" i="1"/>
  <c r="N685" i="1"/>
  <c r="N880" i="1"/>
  <c r="N881" i="1"/>
  <c r="N141" i="1"/>
  <c r="N464" i="1"/>
  <c r="N1118" i="1"/>
  <c r="N92" i="1"/>
  <c r="N1119" i="1"/>
  <c r="N493" i="1"/>
  <c r="N1120" i="1"/>
  <c r="N882" i="1"/>
  <c r="N43" i="1"/>
  <c r="N883" i="1"/>
  <c r="N233" i="1"/>
  <c r="N535" i="1"/>
  <c r="N536" i="1"/>
  <c r="N142" i="1"/>
  <c r="N884" i="1"/>
  <c r="N885" i="1"/>
  <c r="N686" i="1"/>
  <c r="N465" i="1"/>
  <c r="N1121" i="1"/>
  <c r="N494" i="1"/>
  <c r="N687" i="1"/>
  <c r="N466" i="1"/>
  <c r="N886" i="1"/>
  <c r="N467" i="1"/>
  <c r="N688" i="1"/>
  <c r="N887" i="1"/>
  <c r="N537" i="1"/>
  <c r="N115" i="1"/>
  <c r="N468" i="1"/>
  <c r="N446" i="1"/>
  <c r="N888" i="1"/>
  <c r="N423" i="1"/>
  <c r="N306" i="1"/>
  <c r="N93" i="1"/>
  <c r="N469" i="1"/>
  <c r="N424" i="1"/>
  <c r="N94" i="1"/>
  <c r="N538" i="1"/>
  <c r="N539" i="1"/>
  <c r="N889" i="1"/>
  <c r="N540" i="1"/>
  <c r="N1122" i="1"/>
  <c r="N890" i="1"/>
  <c r="N689" i="1"/>
  <c r="N495" i="1"/>
  <c r="N1123" i="1"/>
  <c r="N891" i="1"/>
  <c r="N470" i="1"/>
  <c r="N425" i="1"/>
  <c r="N541" i="1"/>
  <c r="N496" i="1"/>
  <c r="N892" i="1"/>
  <c r="N1124" i="1"/>
  <c r="N542" i="1"/>
  <c r="N116" i="1"/>
  <c r="N690" i="1"/>
  <c r="N426" i="1"/>
  <c r="N39" i="1"/>
  <c r="N691" i="1"/>
  <c r="N543" i="1"/>
  <c r="N1125" i="1"/>
  <c r="N307" i="1"/>
  <c r="N447" i="1"/>
  <c r="N380" i="1"/>
  <c r="N1126" i="1"/>
  <c r="N471" i="1"/>
  <c r="N427" i="1"/>
  <c r="N448" i="1"/>
  <c r="N1127" i="1"/>
  <c r="N544" i="1"/>
  <c r="N545" i="1"/>
  <c r="N692" i="1"/>
  <c r="N234" i="1"/>
  <c r="N235" i="1"/>
  <c r="N693" i="1"/>
  <c r="N236" i="1"/>
  <c r="N694" i="1"/>
  <c r="N381" i="1"/>
  <c r="N472" i="1"/>
  <c r="N497" i="1"/>
  <c r="N1128" i="1"/>
  <c r="N498" i="1"/>
  <c r="N1129" i="1"/>
  <c r="N893" i="1"/>
  <c r="N1130" i="1"/>
  <c r="N1131" i="1"/>
  <c r="N1132" i="1"/>
  <c r="N382" i="1"/>
  <c r="N695" i="1"/>
  <c r="N696" i="1"/>
  <c r="N65" i="1"/>
  <c r="N697" i="1"/>
  <c r="N407" i="1"/>
  <c r="N408" i="1"/>
  <c r="N308" i="1"/>
  <c r="N546" i="1"/>
  <c r="N473" i="1"/>
  <c r="N409" i="1"/>
  <c r="N449" i="1"/>
  <c r="N428" i="1"/>
  <c r="N547" i="1"/>
  <c r="N474" i="1"/>
  <c r="N548" i="1"/>
  <c r="N894" i="1"/>
  <c r="N549" i="1"/>
  <c r="N895" i="1"/>
  <c r="N896" i="1"/>
  <c r="N550" i="1"/>
  <c r="N897" i="1"/>
  <c r="N499" i="1"/>
  <c r="N698" i="1"/>
  <c r="N383" i="1"/>
  <c r="N500" i="1"/>
  <c r="N1133" i="1"/>
  <c r="N475" i="1"/>
  <c r="N699" i="1"/>
  <c r="N450" i="1"/>
  <c r="N384" i="1"/>
  <c r="N429" i="1"/>
  <c r="N410" i="1"/>
  <c r="N551" i="1"/>
  <c r="N700" i="1"/>
  <c r="N701" i="1"/>
  <c r="N898" i="1"/>
  <c r="N552" i="1"/>
  <c r="N501" i="1"/>
  <c r="N117" i="1"/>
  <c r="N1134" i="1"/>
  <c r="N237" i="1"/>
  <c r="N1135" i="1"/>
  <c r="N411" i="1"/>
  <c r="N430" i="1"/>
  <c r="N502" i="1"/>
  <c r="N118" i="1"/>
  <c r="N476" i="1"/>
  <c r="N477" i="1"/>
  <c r="N899" i="1"/>
  <c r="N702" i="1"/>
  <c r="N503" i="1"/>
  <c r="N1136" i="1"/>
  <c r="N504" i="1"/>
  <c r="N553" i="1"/>
  <c r="N900" i="1"/>
  <c r="N478" i="1"/>
  <c r="N309" i="1"/>
  <c r="N1137" i="1"/>
  <c r="N412" i="1"/>
  <c r="N1138" i="1"/>
  <c r="N703" i="1"/>
  <c r="N50" i="1"/>
  <c r="N413" i="1"/>
  <c r="N119" i="1"/>
  <c r="N431" i="1"/>
  <c r="N1139" i="1"/>
  <c r="N704" i="1"/>
  <c r="N505" i="1"/>
  <c r="N40" i="1"/>
  <c r="N1140" i="1"/>
  <c r="N414" i="1"/>
  <c r="N385" i="1"/>
  <c r="N901" i="1"/>
  <c r="N705" i="1"/>
  <c r="N554" i="1"/>
  <c r="N451" i="1"/>
  <c r="N479" i="1"/>
  <c r="N432" i="1"/>
  <c r="N555" i="1"/>
  <c r="N506" i="1"/>
  <c r="N706" i="1"/>
  <c r="N507" i="1"/>
  <c r="N556" i="1"/>
  <c r="N902" i="1"/>
  <c r="N386" i="1"/>
  <c r="N73" i="1"/>
  <c r="N238" i="1"/>
  <c r="N143" i="1"/>
  <c r="N310" i="1"/>
  <c r="N44" i="1"/>
  <c r="N36" i="1"/>
  <c r="N415" i="1"/>
  <c r="N180" i="1"/>
  <c r="N120" i="1"/>
  <c r="N387" i="1"/>
  <c r="N388" i="1"/>
  <c r="N144" i="1"/>
  <c r="N239" i="1"/>
  <c r="N389" i="1"/>
  <c r="N240" i="1"/>
  <c r="N241" i="1"/>
  <c r="N311" i="1"/>
  <c r="N181" i="1"/>
  <c r="N242" i="1"/>
  <c r="N390" i="1"/>
  <c r="N145" i="1"/>
  <c r="N391" i="1"/>
  <c r="N243" i="1"/>
  <c r="N312" i="1"/>
  <c r="N313" i="1"/>
  <c r="N182" i="1"/>
  <c r="N183" i="1"/>
  <c r="N184" i="1"/>
  <c r="N314" i="1"/>
  <c r="N392" i="1"/>
  <c r="N315" i="1"/>
  <c r="N146" i="1"/>
  <c r="N185" i="1"/>
  <c r="N186" i="1"/>
  <c r="N316" i="1"/>
  <c r="N244" i="1"/>
  <c r="N121" i="1"/>
  <c r="N95" i="1"/>
  <c r="N245" i="1"/>
  <c r="N393" i="1"/>
  <c r="N187" i="1"/>
  <c r="N416" i="1"/>
  <c r="N96" i="1"/>
  <c r="N433" i="1"/>
  <c r="N434" i="1"/>
  <c r="N35" i="1"/>
  <c r="N246" i="1"/>
  <c r="N480" i="1"/>
  <c r="N28" i="1"/>
  <c r="N557" i="1"/>
  <c r="N188" i="1"/>
  <c r="N508" i="1"/>
  <c r="N20" i="1"/>
  <c r="N97" i="1"/>
  <c r="N1141" i="1"/>
  <c r="N147" i="1"/>
  <c r="N452" i="1"/>
  <c r="N481" i="1"/>
  <c r="N98" i="1"/>
  <c r="N148" i="1"/>
  <c r="N482" i="1"/>
  <c r="N417" i="1"/>
  <c r="N903" i="1"/>
  <c r="N453" i="1"/>
  <c r="N454" i="1"/>
  <c r="N558" i="1"/>
  <c r="N26" i="1"/>
  <c r="N16" i="1"/>
  <c r="N707" i="1"/>
  <c r="N455" i="1"/>
  <c r="N435" i="1"/>
  <c r="N559" i="1"/>
  <c r="N57" i="1"/>
  <c r="N483" i="1"/>
  <c r="N394" i="1"/>
  <c r="N509" i="1"/>
  <c r="N560" i="1"/>
  <c r="N1142" i="1"/>
  <c r="N12" i="1"/>
  <c r="N561" i="1"/>
  <c r="N99" i="1"/>
  <c r="N247" i="1"/>
  <c r="N904" i="1"/>
  <c r="N1143" i="1"/>
  <c r="N45" i="1"/>
  <c r="N149" i="1"/>
  <c r="N1144" i="1"/>
  <c r="N122" i="1"/>
  <c r="N436" i="1"/>
  <c r="N150" i="1"/>
  <c r="N708" i="1"/>
  <c r="N905" i="1"/>
  <c r="N395" i="1"/>
  <c r="N418" i="1"/>
  <c r="J562" i="1"/>
  <c r="J906" i="1"/>
  <c r="K906" i="1" s="1"/>
  <c r="J709" i="1"/>
  <c r="J563" i="1"/>
  <c r="J907" i="1"/>
  <c r="J710" i="1"/>
  <c r="J564" i="1"/>
  <c r="J711" i="1"/>
  <c r="J712" i="1"/>
  <c r="K712" i="1" s="1"/>
  <c r="J908" i="1"/>
  <c r="K908" i="1" s="1"/>
  <c r="J909" i="1"/>
  <c r="J910" i="1"/>
  <c r="J911" i="1"/>
  <c r="J565" i="1"/>
  <c r="K565" i="1" s="1"/>
  <c r="J912" i="1"/>
  <c r="J713" i="1"/>
  <c r="J913" i="1"/>
  <c r="J714" i="1"/>
  <c r="J511" i="1"/>
  <c r="J914" i="1"/>
  <c r="J715" i="1"/>
  <c r="K715" i="1" s="1"/>
  <c r="J716" i="1"/>
  <c r="K716" i="1" s="1"/>
  <c r="J566" i="1"/>
  <c r="J915" i="1"/>
  <c r="J916" i="1"/>
  <c r="J567" i="1"/>
  <c r="K567" i="1" s="1"/>
  <c r="J717" i="1"/>
  <c r="J568" i="1"/>
  <c r="K568" i="1" s="1"/>
  <c r="J917" i="1"/>
  <c r="K917" i="1" s="1"/>
  <c r="J918" i="1"/>
  <c r="J569" i="1"/>
  <c r="J718" i="1"/>
  <c r="J719" i="1"/>
  <c r="K719" i="1" s="1"/>
  <c r="J570" i="1"/>
  <c r="K570" i="1" s="1"/>
  <c r="J919" i="1"/>
  <c r="J571" i="1"/>
  <c r="J572" i="1"/>
  <c r="J720" i="1"/>
  <c r="K720" i="1" s="1"/>
  <c r="J721" i="1"/>
  <c r="J920" i="1"/>
  <c r="J921" i="1"/>
  <c r="J722" i="1"/>
  <c r="J573" i="1"/>
  <c r="J922" i="1"/>
  <c r="J723" i="1"/>
  <c r="K723" i="1" s="1"/>
  <c r="J724" i="1"/>
  <c r="K724" i="1" s="1"/>
  <c r="J574" i="1"/>
  <c r="J725" i="1"/>
  <c r="K725" i="1" s="1"/>
  <c r="J512" i="1"/>
  <c r="J575" i="1"/>
  <c r="K575" i="1" s="1"/>
  <c r="J923" i="1"/>
  <c r="J726" i="1"/>
  <c r="J924" i="1"/>
  <c r="J925" i="1"/>
  <c r="J576" i="1"/>
  <c r="J727" i="1"/>
  <c r="J926" i="1"/>
  <c r="K926" i="1" s="1"/>
  <c r="J927" i="1"/>
  <c r="K927" i="1" s="1"/>
  <c r="J928" i="1"/>
  <c r="J484" i="1"/>
  <c r="J929" i="1"/>
  <c r="J930" i="1"/>
  <c r="K930" i="1" s="1"/>
  <c r="J577" i="1"/>
  <c r="J578" i="1"/>
  <c r="J579" i="1"/>
  <c r="J931" i="1"/>
  <c r="J932" i="1"/>
  <c r="J728" i="1"/>
  <c r="J729" i="1"/>
  <c r="K729" i="1" s="1"/>
  <c r="J730" i="1"/>
  <c r="K730" i="1" s="1"/>
  <c r="J580" i="1"/>
  <c r="K580" i="1" s="1"/>
  <c r="J933" i="1"/>
  <c r="J934" i="1"/>
  <c r="J935" i="1"/>
  <c r="K935" i="1" s="1"/>
  <c r="J731" i="1"/>
  <c r="J936" i="1"/>
  <c r="J581" i="1"/>
  <c r="J937" i="1"/>
  <c r="J582" i="1"/>
  <c r="J938" i="1"/>
  <c r="J939" i="1"/>
  <c r="K939" i="1" s="1"/>
  <c r="J732" i="1"/>
  <c r="K732" i="1" s="1"/>
  <c r="J437" i="1"/>
  <c r="J583" i="1"/>
  <c r="J733" i="1"/>
  <c r="J584" i="1"/>
  <c r="K584" i="1" s="1"/>
  <c r="J940" i="1"/>
  <c r="J585" i="1"/>
  <c r="J586" i="1"/>
  <c r="K586" i="1" s="1"/>
  <c r="J438" i="1"/>
  <c r="J587" i="1"/>
  <c r="J734" i="1"/>
  <c r="J588" i="1"/>
  <c r="K588" i="1" s="1"/>
  <c r="J941" i="1"/>
  <c r="K941" i="1" s="1"/>
  <c r="J942" i="1"/>
  <c r="J943" i="1"/>
  <c r="J944" i="1"/>
  <c r="J945" i="1"/>
  <c r="K945" i="1" s="1"/>
  <c r="J946" i="1"/>
  <c r="J735" i="1"/>
  <c r="J736" i="1"/>
  <c r="P736" i="1" s="1"/>
  <c r="J947" i="1"/>
  <c r="J737" i="1"/>
  <c r="J738" i="1"/>
  <c r="J739" i="1"/>
  <c r="K739" i="1" s="1"/>
  <c r="J740" i="1"/>
  <c r="K740" i="1" s="1"/>
  <c r="J948" i="1"/>
  <c r="J741" i="1"/>
  <c r="J589" i="1"/>
  <c r="J742" i="1"/>
  <c r="K742" i="1" s="1"/>
  <c r="J513" i="1"/>
  <c r="J743" i="1"/>
  <c r="K743" i="1" s="1"/>
  <c r="J949" i="1"/>
  <c r="J950" i="1"/>
  <c r="J951" i="1"/>
  <c r="J744" i="1"/>
  <c r="J952" i="1"/>
  <c r="K952" i="1" s="1"/>
  <c r="J953" i="1"/>
  <c r="K953" i="1" s="1"/>
  <c r="J954" i="1"/>
  <c r="J745" i="1"/>
  <c r="J746" i="1"/>
  <c r="J955" i="1"/>
  <c r="K955" i="1" s="1"/>
  <c r="J590" i="1"/>
  <c r="J747" i="1"/>
  <c r="J591" i="1"/>
  <c r="J748" i="1"/>
  <c r="J956" i="1"/>
  <c r="J957" i="1"/>
  <c r="J749" i="1"/>
  <c r="K749" i="1" s="1"/>
  <c r="J750" i="1"/>
  <c r="K750" i="1" s="1"/>
  <c r="J958" i="1"/>
  <c r="K958" i="1" s="1"/>
  <c r="J959" i="1"/>
  <c r="K959" i="1" s="1"/>
  <c r="J592" i="1"/>
  <c r="J960" i="1"/>
  <c r="K960" i="1" s="1"/>
  <c r="J961" i="1"/>
  <c r="J593" i="1"/>
  <c r="J594" i="1"/>
  <c r="J514" i="1"/>
  <c r="J485" i="1"/>
  <c r="J595" i="1"/>
  <c r="J596" i="1"/>
  <c r="K596" i="1" s="1"/>
  <c r="J962" i="1"/>
  <c r="K962" i="1" s="1"/>
  <c r="J963" i="1"/>
  <c r="J964" i="1"/>
  <c r="J597" i="1"/>
  <c r="J456" i="1"/>
  <c r="K456" i="1" s="1"/>
  <c r="J515" i="1"/>
  <c r="J598" i="1"/>
  <c r="J965" i="1"/>
  <c r="J751" i="1"/>
  <c r="J439" i="1"/>
  <c r="J752" i="1"/>
  <c r="J966" i="1"/>
  <c r="K966" i="1" s="1"/>
  <c r="J967" i="1"/>
  <c r="K967" i="1" s="1"/>
  <c r="J753" i="1"/>
  <c r="J599" i="1"/>
  <c r="J968" i="1"/>
  <c r="J969" i="1"/>
  <c r="K969" i="1" s="1"/>
  <c r="J600" i="1"/>
  <c r="J601" i="1"/>
  <c r="J970" i="1"/>
  <c r="J602" i="1"/>
  <c r="J971" i="1"/>
  <c r="J972" i="1"/>
  <c r="J603" i="1"/>
  <c r="K603" i="1" s="1"/>
  <c r="J604" i="1"/>
  <c r="K604" i="1" s="1"/>
  <c r="J605" i="1"/>
  <c r="J754" i="1"/>
  <c r="J973" i="1"/>
  <c r="J974" i="1"/>
  <c r="K974" i="1" s="1"/>
  <c r="J975" i="1"/>
  <c r="J976" i="1"/>
  <c r="K976" i="1" s="1"/>
  <c r="J606" i="1"/>
  <c r="K606" i="1" s="1"/>
  <c r="J607" i="1"/>
  <c r="J755" i="1"/>
  <c r="J977" i="1"/>
  <c r="J756" i="1"/>
  <c r="K756" i="1" s="1"/>
  <c r="J757" i="1"/>
  <c r="K757" i="1" s="1"/>
  <c r="J758" i="1"/>
  <c r="J978" i="1"/>
  <c r="J979" i="1"/>
  <c r="J980" i="1"/>
  <c r="K980" i="1" s="1"/>
  <c r="J981" i="1"/>
  <c r="J982" i="1"/>
  <c r="J759" i="1"/>
  <c r="J760" i="1"/>
  <c r="J608" i="1"/>
  <c r="J761" i="1"/>
  <c r="J983" i="1"/>
  <c r="K983" i="1" s="1"/>
  <c r="J762" i="1"/>
  <c r="K762" i="1" s="1"/>
  <c r="J609" i="1"/>
  <c r="J763" i="1"/>
  <c r="K763" i="1" s="1"/>
  <c r="J610" i="1"/>
  <c r="J764" i="1"/>
  <c r="K764" i="1" s="1"/>
  <c r="J457" i="1"/>
  <c r="J765" i="1"/>
  <c r="J766" i="1"/>
  <c r="J516" i="1"/>
  <c r="J517" i="1"/>
  <c r="J767" i="1"/>
  <c r="J768" i="1"/>
  <c r="K768" i="1" s="1"/>
  <c r="J611" i="1"/>
  <c r="J984" i="1"/>
  <c r="J985" i="1"/>
  <c r="J769" i="1"/>
  <c r="J612" i="1"/>
  <c r="K612" i="1" s="1"/>
  <c r="J770" i="1"/>
  <c r="J771" i="1"/>
  <c r="J772" i="1"/>
  <c r="J773" i="1"/>
  <c r="J774" i="1"/>
  <c r="J518" i="1"/>
  <c r="J986" i="1"/>
  <c r="K986" i="1" s="1"/>
  <c r="J775" i="1"/>
  <c r="K775" i="1" s="1"/>
  <c r="J613" i="1"/>
  <c r="K613" i="1" s="1"/>
  <c r="J987" i="1"/>
  <c r="J614" i="1"/>
  <c r="J615" i="1"/>
  <c r="K615" i="1" s="1"/>
  <c r="J616" i="1"/>
  <c r="J776" i="1"/>
  <c r="J988" i="1"/>
  <c r="J989" i="1"/>
  <c r="J777" i="1"/>
  <c r="J990" i="1"/>
  <c r="J617" i="1"/>
  <c r="K617" i="1" s="1"/>
  <c r="J778" i="1"/>
  <c r="J618" i="1"/>
  <c r="J779" i="1"/>
  <c r="J780" i="1"/>
  <c r="J781" i="1"/>
  <c r="K781" i="1" s="1"/>
  <c r="J782" i="1"/>
  <c r="J783" i="1"/>
  <c r="J991" i="1"/>
  <c r="K991" i="1" s="1"/>
  <c r="J784" i="1"/>
  <c r="J992" i="1"/>
  <c r="J785" i="1"/>
  <c r="J619" i="1"/>
  <c r="K619" i="1" s="1"/>
  <c r="J786" i="1"/>
  <c r="J519" i="1"/>
  <c r="J520" i="1"/>
  <c r="J993" i="1"/>
  <c r="J787" i="1"/>
  <c r="K787" i="1" s="1"/>
  <c r="J788" i="1"/>
  <c r="J620" i="1"/>
  <c r="J621" i="1"/>
  <c r="J994" i="1"/>
  <c r="J789" i="1"/>
  <c r="J995" i="1"/>
  <c r="J622" i="1"/>
  <c r="K622" i="1" s="1"/>
  <c r="J996" i="1"/>
  <c r="J521" i="1"/>
  <c r="J623" i="1"/>
  <c r="J997" i="1"/>
  <c r="J790" i="1"/>
  <c r="K790" i="1" s="1"/>
  <c r="J791" i="1"/>
  <c r="J998" i="1"/>
  <c r="K998" i="1" s="1"/>
  <c r="J624" i="1"/>
  <c r="J792" i="1"/>
  <c r="J793" i="1"/>
  <c r="J794" i="1"/>
  <c r="J795" i="1"/>
  <c r="K795" i="1" s="1"/>
  <c r="J796" i="1"/>
  <c r="J797" i="1"/>
  <c r="J798" i="1"/>
  <c r="J625" i="1"/>
  <c r="J999" i="1"/>
  <c r="J626" i="1"/>
  <c r="J1000" i="1"/>
  <c r="J1001" i="1"/>
  <c r="J1002" i="1"/>
  <c r="J627" i="1"/>
  <c r="J799" i="1"/>
  <c r="J1003" i="1"/>
  <c r="K1003" i="1" s="1"/>
  <c r="J1004" i="1"/>
  <c r="J628" i="1"/>
  <c r="K628" i="1" s="1"/>
  <c r="J800" i="1"/>
  <c r="K800" i="1" s="1"/>
  <c r="J629" i="1"/>
  <c r="J801" i="1"/>
  <c r="J630" i="1"/>
  <c r="J631" i="1"/>
  <c r="J1005" i="1"/>
  <c r="J632" i="1"/>
  <c r="J802" i="1"/>
  <c r="J522" i="1"/>
  <c r="J633" i="1"/>
  <c r="K633" i="1" s="1"/>
  <c r="J1006" i="1"/>
  <c r="J803" i="1"/>
  <c r="J1007" i="1"/>
  <c r="J634" i="1"/>
  <c r="J635" i="1"/>
  <c r="J523" i="1"/>
  <c r="J1008" i="1"/>
  <c r="J804" i="1"/>
  <c r="J1009" i="1"/>
  <c r="J1010" i="1"/>
  <c r="J805" i="1"/>
  <c r="J636" i="1"/>
  <c r="K636" i="1" s="1"/>
  <c r="J637" i="1"/>
  <c r="K637" i="1" s="1"/>
  <c r="J806" i="1"/>
  <c r="J638" i="1"/>
  <c r="J1011" i="1"/>
  <c r="J1012" i="1"/>
  <c r="J1013" i="1"/>
  <c r="J807" i="1"/>
  <c r="J524" i="1"/>
  <c r="J1014" i="1"/>
  <c r="J808" i="1"/>
  <c r="J809" i="1"/>
  <c r="J810" i="1"/>
  <c r="K810" i="1" s="1"/>
  <c r="J811" i="1"/>
  <c r="J639" i="1"/>
  <c r="J1015" i="1"/>
  <c r="J812" i="1"/>
  <c r="J1016" i="1"/>
  <c r="J640" i="1"/>
  <c r="J1017" i="1"/>
  <c r="K1017" i="1" s="1"/>
  <c r="J813" i="1"/>
  <c r="K813" i="1" s="1"/>
  <c r="J641" i="1"/>
  <c r="J1018" i="1"/>
  <c r="J1019" i="1"/>
  <c r="J642" i="1"/>
  <c r="K642" i="1" s="1"/>
  <c r="J814" i="1"/>
  <c r="J643" i="1"/>
  <c r="J815" i="1"/>
  <c r="J644" i="1"/>
  <c r="J1020" i="1"/>
  <c r="J816" i="1"/>
  <c r="J1021" i="1"/>
  <c r="J817" i="1"/>
  <c r="J818" i="1"/>
  <c r="J819" i="1"/>
  <c r="J1022" i="1"/>
  <c r="J820" i="1"/>
  <c r="K820" i="1" s="1"/>
  <c r="J1023" i="1"/>
  <c r="J645" i="1"/>
  <c r="J646" i="1"/>
  <c r="K646" i="1" s="1"/>
  <c r="J821" i="1"/>
  <c r="J525" i="1"/>
  <c r="K525" i="1" s="1"/>
  <c r="J822" i="1"/>
  <c r="J823" i="1"/>
  <c r="J824" i="1"/>
  <c r="J825" i="1"/>
  <c r="J1024" i="1"/>
  <c r="J647" i="1"/>
  <c r="J826" i="1"/>
  <c r="K826" i="1" s="1"/>
  <c r="J648" i="1"/>
  <c r="J827" i="1"/>
  <c r="J649" i="1"/>
  <c r="J1025" i="1"/>
  <c r="J828" i="1"/>
  <c r="J1026" i="1"/>
  <c r="J1027" i="1"/>
  <c r="J650" i="1"/>
  <c r="J1028" i="1"/>
  <c r="J526" i="1"/>
  <c r="J829" i="1"/>
  <c r="J1029" i="1"/>
  <c r="K1029" i="1" s="1"/>
  <c r="J830" i="1"/>
  <c r="K830" i="1" s="1"/>
  <c r="J527" i="1"/>
  <c r="K527" i="1" s="1"/>
  <c r="J1030" i="1"/>
  <c r="J651" i="1"/>
  <c r="J652" i="1"/>
  <c r="J1031" i="1"/>
  <c r="J1032" i="1"/>
  <c r="J1033" i="1"/>
  <c r="J1034" i="1"/>
  <c r="J1035" i="1"/>
  <c r="J831" i="1"/>
  <c r="J832" i="1"/>
  <c r="K832" i="1" s="1"/>
  <c r="J653" i="1"/>
  <c r="J833" i="1"/>
  <c r="J654" i="1"/>
  <c r="J655" i="1"/>
  <c r="J834" i="1"/>
  <c r="J656" i="1"/>
  <c r="J835" i="1"/>
  <c r="J836" i="1"/>
  <c r="K836" i="1" s="1"/>
  <c r="J837" i="1"/>
  <c r="J838" i="1"/>
  <c r="J839" i="1"/>
  <c r="J840" i="1"/>
  <c r="K840" i="1" s="1"/>
  <c r="J841" i="1"/>
  <c r="J1036" i="1"/>
  <c r="J842" i="1"/>
  <c r="J843" i="1"/>
  <c r="J528" i="1"/>
  <c r="J657" i="1"/>
  <c r="J844" i="1"/>
  <c r="J1037" i="1"/>
  <c r="J1038" i="1"/>
  <c r="J845" i="1"/>
  <c r="J846" i="1"/>
  <c r="J1039" i="1"/>
  <c r="K1039" i="1" s="1"/>
  <c r="J1040" i="1"/>
  <c r="J847" i="1"/>
  <c r="J848" i="1"/>
  <c r="J658" i="1"/>
  <c r="J659" i="1"/>
  <c r="K659" i="1" s="1"/>
  <c r="J660" i="1"/>
  <c r="J1041" i="1"/>
  <c r="K1041" i="1" s="1"/>
  <c r="J1042" i="1"/>
  <c r="J849" i="1"/>
  <c r="J1043" i="1"/>
  <c r="J850" i="1"/>
  <c r="J661" i="1"/>
  <c r="K661" i="1" s="1"/>
  <c r="J662" i="1"/>
  <c r="J851" i="1"/>
  <c r="J1044" i="1"/>
  <c r="J663" i="1"/>
  <c r="J529" i="1"/>
  <c r="J1045" i="1"/>
  <c r="J1046" i="1"/>
  <c r="J1047" i="1"/>
  <c r="J664" i="1"/>
  <c r="J852" i="1"/>
  <c r="J853" i="1"/>
  <c r="J665" i="1"/>
  <c r="K665" i="1" s="1"/>
  <c r="J854" i="1"/>
  <c r="J1048" i="1"/>
  <c r="K1048" i="1" s="1"/>
  <c r="J855" i="1"/>
  <c r="K855" i="1" s="1"/>
  <c r="J1049" i="1"/>
  <c r="J856" i="1"/>
  <c r="J1050" i="1"/>
  <c r="J486" i="1"/>
  <c r="J1051" i="1"/>
  <c r="J857" i="1"/>
  <c r="J858" i="1"/>
  <c r="J859" i="1"/>
  <c r="J666" i="1"/>
  <c r="J860" i="1"/>
  <c r="J530" i="1"/>
  <c r="J1052" i="1"/>
  <c r="J1053" i="1"/>
  <c r="J1054" i="1"/>
  <c r="J1055" i="1"/>
  <c r="J1056" i="1"/>
  <c r="K1056" i="1" s="1"/>
  <c r="J1057" i="1"/>
  <c r="J861" i="1"/>
  <c r="J1058" i="1"/>
  <c r="J667" i="1"/>
  <c r="J668" i="1"/>
  <c r="K668" i="1" s="1"/>
  <c r="J1059" i="1"/>
  <c r="K1059" i="1" s="1"/>
  <c r="J862" i="1"/>
  <c r="J1060" i="1"/>
  <c r="J863" i="1"/>
  <c r="J1061" i="1"/>
  <c r="J1062" i="1"/>
  <c r="J864" i="1"/>
  <c r="J1063" i="1"/>
  <c r="J1064" i="1"/>
  <c r="J1065" i="1"/>
  <c r="J1066" i="1"/>
  <c r="J1067" i="1"/>
  <c r="J1068" i="1"/>
  <c r="J1069" i="1"/>
  <c r="J1070" i="1"/>
  <c r="K1070" i="1" s="1"/>
  <c r="J1071" i="1"/>
  <c r="J487" i="1"/>
  <c r="P487" i="1" s="1"/>
  <c r="J1072" i="1"/>
  <c r="J1073" i="1"/>
  <c r="K1073" i="1" s="1"/>
  <c r="J865" i="1"/>
  <c r="K865" i="1" s="1"/>
  <c r="J1074" i="1"/>
  <c r="J1075" i="1"/>
  <c r="J1076" i="1"/>
  <c r="J669" i="1"/>
  <c r="J1077" i="1"/>
  <c r="J1078" i="1"/>
  <c r="J866" i="1"/>
  <c r="J1079" i="1"/>
  <c r="J1080" i="1"/>
  <c r="J1081" i="1"/>
  <c r="J458" i="1"/>
  <c r="J1082" i="1"/>
  <c r="J670" i="1"/>
  <c r="J671" i="1"/>
  <c r="J531" i="1"/>
  <c r="J672" i="1"/>
  <c r="J1083" i="1"/>
  <c r="K1083" i="1" s="1"/>
  <c r="J673" i="1"/>
  <c r="J532" i="1"/>
  <c r="K532" i="1" s="1"/>
  <c r="J1084" i="1"/>
  <c r="J1085" i="1"/>
  <c r="K1085" i="1" s="1"/>
  <c r="J867" i="1"/>
  <c r="J488" i="1"/>
  <c r="J868" i="1"/>
  <c r="J674" i="1"/>
  <c r="J1086" i="1"/>
  <c r="J1087" i="1"/>
  <c r="J1088" i="1"/>
  <c r="J869" i="1"/>
  <c r="J1089" i="1"/>
  <c r="J675" i="1"/>
  <c r="J870" i="1"/>
  <c r="J871" i="1"/>
  <c r="J1090" i="1"/>
  <c r="J1091" i="1"/>
  <c r="J1092" i="1"/>
  <c r="K1092" i="1" s="1"/>
  <c r="J1093" i="1"/>
  <c r="J872" i="1"/>
  <c r="J1094" i="1"/>
  <c r="J873" i="1"/>
  <c r="J1095" i="1"/>
  <c r="K1095" i="1" s="1"/>
  <c r="J874" i="1"/>
  <c r="K874" i="1" s="1"/>
  <c r="J875" i="1"/>
  <c r="J876" i="1"/>
  <c r="J1096" i="1"/>
  <c r="J1097" i="1"/>
  <c r="J676" i="1"/>
  <c r="J677" i="1"/>
  <c r="J1098" i="1"/>
  <c r="J1099" i="1"/>
  <c r="J678" i="1"/>
  <c r="J679" i="1"/>
  <c r="J877" i="1"/>
  <c r="J680" i="1"/>
  <c r="J1100" i="1"/>
  <c r="J1101" i="1"/>
  <c r="J4" i="1"/>
  <c r="K4" i="1" s="1"/>
  <c r="J27" i="1"/>
  <c r="J1102" i="1"/>
  <c r="J74" i="1"/>
  <c r="K74" i="1" s="1"/>
  <c r="J37" i="1"/>
  <c r="J317" i="1"/>
  <c r="J9" i="1"/>
  <c r="J2" i="1"/>
  <c r="K2" i="1" s="1"/>
  <c r="J189" i="1"/>
  <c r="J51" i="1"/>
  <c r="J3" i="1"/>
  <c r="J75" i="1"/>
  <c r="J248" i="1"/>
  <c r="J6" i="1"/>
  <c r="J76" i="1"/>
  <c r="J100" i="1"/>
  <c r="J46" i="1"/>
  <c r="J318" i="1"/>
  <c r="J190" i="1"/>
  <c r="J41" i="1"/>
  <c r="J249" i="1"/>
  <c r="K249" i="1" s="1"/>
  <c r="J58" i="1"/>
  <c r="J101" i="1"/>
  <c r="K101" i="1" s="1"/>
  <c r="J191" i="1"/>
  <c r="K191" i="1" s="1"/>
  <c r="J151" i="1"/>
  <c r="J192" i="1"/>
  <c r="J13" i="1"/>
  <c r="J250" i="1"/>
  <c r="J251" i="1"/>
  <c r="J152" i="1"/>
  <c r="J193" i="1"/>
  <c r="J153" i="1"/>
  <c r="J102" i="1"/>
  <c r="J319" i="1"/>
  <c r="J396" i="1"/>
  <c r="J320" i="1"/>
  <c r="J77" i="1"/>
  <c r="K77" i="1" s="1"/>
  <c r="J321" i="1"/>
  <c r="J252" i="1"/>
  <c r="J78" i="1"/>
  <c r="K78" i="1" s="1"/>
  <c r="J322" i="1"/>
  <c r="J103" i="1"/>
  <c r="J47" i="1"/>
  <c r="J14" i="1"/>
  <c r="K14" i="1" s="1"/>
  <c r="J323" i="1"/>
  <c r="J324" i="1"/>
  <c r="J194" i="1"/>
  <c r="J325" i="1"/>
  <c r="J154" i="1"/>
  <c r="J195" i="1"/>
  <c r="J17" i="1"/>
  <c r="J123" i="1"/>
  <c r="J326" i="1"/>
  <c r="J66" i="1"/>
  <c r="J253" i="1"/>
  <c r="J327" i="1"/>
  <c r="J7" i="1"/>
  <c r="K7" i="1" s="1"/>
  <c r="J31" i="1"/>
  <c r="J32" i="1"/>
  <c r="K32" i="1" s="1"/>
  <c r="J10" i="1"/>
  <c r="K10" i="1" s="1"/>
  <c r="J124" i="1"/>
  <c r="J8" i="1"/>
  <c r="J42" i="1"/>
  <c r="J397" i="1"/>
  <c r="J196" i="1"/>
  <c r="J398" i="1"/>
  <c r="J59" i="1"/>
  <c r="J104" i="1"/>
  <c r="J328" i="1"/>
  <c r="J1103" i="1"/>
  <c r="J155" i="1"/>
  <c r="J254" i="1"/>
  <c r="J329" i="1"/>
  <c r="K329" i="1" s="1"/>
  <c r="J125" i="1"/>
  <c r="J330" i="1"/>
  <c r="J255" i="1"/>
  <c r="K255" i="1" s="1"/>
  <c r="J197" i="1"/>
  <c r="J331" i="1"/>
  <c r="J156" i="1"/>
  <c r="J126" i="1"/>
  <c r="K126" i="1" s="1"/>
  <c r="J256" i="1"/>
  <c r="J1104" i="1"/>
  <c r="J127" i="1"/>
  <c r="J332" i="1"/>
  <c r="J333" i="1"/>
  <c r="J60" i="1"/>
  <c r="J157" i="1"/>
  <c r="J334" i="1"/>
  <c r="J335" i="1"/>
  <c r="J158" i="1"/>
  <c r="J1105" i="1"/>
  <c r="J67" i="1"/>
  <c r="J198" i="1"/>
  <c r="K198" i="1" s="1"/>
  <c r="J61" i="1"/>
  <c r="J199" i="1"/>
  <c r="K199" i="1" s="1"/>
  <c r="J11" i="1"/>
  <c r="K11" i="1" s="1"/>
  <c r="J68" i="1"/>
  <c r="J128" i="1"/>
  <c r="J399" i="1"/>
  <c r="J336" i="1"/>
  <c r="J1106" i="1"/>
  <c r="J159" i="1"/>
  <c r="J337" i="1"/>
  <c r="J33" i="1"/>
  <c r="J338" i="1"/>
  <c r="J52" i="1"/>
  <c r="J160" i="1"/>
  <c r="J200" i="1"/>
  <c r="J201" i="1"/>
  <c r="K201" i="1" s="1"/>
  <c r="J79" i="1"/>
  <c r="J21" i="1"/>
  <c r="J257" i="1"/>
  <c r="K257" i="1" s="1"/>
  <c r="J258" i="1"/>
  <c r="J161" i="1"/>
  <c r="J105" i="1"/>
  <c r="J339" i="1"/>
  <c r="K339" i="1" s="1"/>
  <c r="J259" i="1"/>
  <c r="J53" i="1"/>
  <c r="J260" i="1"/>
  <c r="J69" i="1"/>
  <c r="J162" i="1"/>
  <c r="J106" i="1"/>
  <c r="J163" i="1"/>
  <c r="J340" i="1"/>
  <c r="J261" i="1"/>
  <c r="J262" i="1"/>
  <c r="J202" i="1"/>
  <c r="J80" i="1"/>
  <c r="J341" i="1"/>
  <c r="K341" i="1" s="1"/>
  <c r="J342" i="1"/>
  <c r="J263" i="1"/>
  <c r="K263" i="1" s="1"/>
  <c r="J343" i="1"/>
  <c r="K343" i="1" s="1"/>
  <c r="J344" i="1"/>
  <c r="J129" i="1"/>
  <c r="J345" i="1"/>
  <c r="J346" i="1"/>
  <c r="J203" i="1"/>
  <c r="J419" i="1"/>
  <c r="J264" i="1"/>
  <c r="J265" i="1"/>
  <c r="J1107" i="1"/>
  <c r="J48" i="1"/>
  <c r="J204" i="1"/>
  <c r="J205" i="1"/>
  <c r="J25" i="1"/>
  <c r="K25" i="1" s="1"/>
  <c r="J347" i="1"/>
  <c r="J130" i="1"/>
  <c r="J164" i="1"/>
  <c r="K164" i="1" s="1"/>
  <c r="J206" i="1"/>
  <c r="J49" i="1"/>
  <c r="J70" i="1"/>
  <c r="J1108" i="1"/>
  <c r="K1108" i="1" s="1"/>
  <c r="J81" i="1"/>
  <c r="J34" i="1"/>
  <c r="J348" i="1"/>
  <c r="J165" i="1"/>
  <c r="J207" i="1"/>
  <c r="J349" i="1"/>
  <c r="J82" i="1"/>
  <c r="J62" i="1"/>
  <c r="J131" i="1"/>
  <c r="J266" i="1"/>
  <c r="J166" i="1"/>
  <c r="J132" i="1"/>
  <c r="J208" i="1"/>
  <c r="K208" i="1" s="1"/>
  <c r="J267" i="1"/>
  <c r="J209" i="1"/>
  <c r="K209" i="1" s="1"/>
  <c r="J210" i="1"/>
  <c r="K210" i="1" s="1"/>
  <c r="J268" i="1"/>
  <c r="J269" i="1"/>
  <c r="J54" i="1"/>
  <c r="J83" i="1"/>
  <c r="J211" i="1"/>
  <c r="J350" i="1"/>
  <c r="J212" i="1"/>
  <c r="J213" i="1"/>
  <c r="J270" i="1"/>
  <c r="J271" i="1"/>
  <c r="J400" i="1"/>
  <c r="J214" i="1"/>
  <c r="J272" i="1"/>
  <c r="K272" i="1" s="1"/>
  <c r="J84" i="1"/>
  <c r="J167" i="1"/>
  <c r="J215" i="1"/>
  <c r="K215" i="1" s="1"/>
  <c r="J133" i="1"/>
  <c r="J107" i="1"/>
  <c r="J273" i="1"/>
  <c r="J38" i="1"/>
  <c r="K38" i="1" s="1"/>
  <c r="J22" i="1"/>
  <c r="J85" i="1"/>
  <c r="J274" i="1"/>
  <c r="J134" i="1"/>
  <c r="J351" i="1"/>
  <c r="J71" i="1"/>
  <c r="J168" i="1"/>
  <c r="J275" i="1"/>
  <c r="J63" i="1"/>
  <c r="J169" i="1"/>
  <c r="J276" i="1"/>
  <c r="J86" i="1"/>
  <c r="K86" i="1" s="1"/>
  <c r="J170" i="1"/>
  <c r="J1109" i="1"/>
  <c r="K1109" i="1" s="1"/>
  <c r="J277" i="1"/>
  <c r="K277" i="1" s="1"/>
  <c r="J352" i="1"/>
  <c r="J353" i="1"/>
  <c r="J278" i="1"/>
  <c r="J354" i="1"/>
  <c r="J355" i="1"/>
  <c r="J356" i="1"/>
  <c r="J279" i="1"/>
  <c r="J280" i="1"/>
  <c r="J401" i="1"/>
  <c r="J171" i="1"/>
  <c r="J357" i="1"/>
  <c r="J172" i="1"/>
  <c r="K172" i="1" s="1"/>
  <c r="J173" i="1"/>
  <c r="J358" i="1"/>
  <c r="K358" i="1" s="1"/>
  <c r="J135" i="1"/>
  <c r="K135" i="1" s="1"/>
  <c r="J136" i="1"/>
  <c r="J216" i="1"/>
  <c r="J217" i="1"/>
  <c r="J218" i="1"/>
  <c r="J281" i="1"/>
  <c r="J359" i="1"/>
  <c r="J108" i="1"/>
  <c r="J219" i="1"/>
  <c r="J402" i="1"/>
  <c r="J403" i="1"/>
  <c r="J220" i="1"/>
  <c r="J282" i="1"/>
  <c r="K282" i="1" s="1"/>
  <c r="J283" i="1"/>
  <c r="J360" i="1"/>
  <c r="K360" i="1" s="1"/>
  <c r="J221" i="1"/>
  <c r="J222" i="1"/>
  <c r="J361" i="1"/>
  <c r="J284" i="1"/>
  <c r="K284" i="1" s="1"/>
  <c r="J285" i="1"/>
  <c r="J286" i="1"/>
  <c r="J362" i="1"/>
  <c r="J174" i="1"/>
  <c r="J223" i="1"/>
  <c r="J109" i="1"/>
  <c r="J29" i="1"/>
  <c r="J137" i="1"/>
  <c r="J224" i="1"/>
  <c r="J225" i="1"/>
  <c r="J287" i="1"/>
  <c r="J23" i="1"/>
  <c r="K23" i="1" s="1"/>
  <c r="J87" i="1"/>
  <c r="J175" i="1"/>
  <c r="K175" i="1" s="1"/>
  <c r="J55" i="1"/>
  <c r="K55" i="1" s="1"/>
  <c r="J64" i="1"/>
  <c r="J288" i="1"/>
  <c r="J363" i="1"/>
  <c r="J72" i="1"/>
  <c r="J88" i="1"/>
  <c r="J138" i="1"/>
  <c r="J289" i="1"/>
  <c r="J364" i="1"/>
  <c r="J290" i="1"/>
  <c r="J176" i="1"/>
  <c r="J291" i="1"/>
  <c r="J292" i="1"/>
  <c r="K292" i="1" s="1"/>
  <c r="J365" i="1"/>
  <c r="J293" i="1"/>
  <c r="K293" i="1" s="1"/>
  <c r="J366" i="1"/>
  <c r="K366" i="1" s="1"/>
  <c r="J367" i="1"/>
  <c r="J368" i="1"/>
  <c r="J404" i="1"/>
  <c r="J369" i="1"/>
  <c r="J370" i="1"/>
  <c r="J89" i="1"/>
  <c r="J294" i="1"/>
  <c r="J226" i="1"/>
  <c r="J371" i="1"/>
  <c r="J227" i="1"/>
  <c r="J228" i="1"/>
  <c r="J372" i="1"/>
  <c r="K372" i="1" s="1"/>
  <c r="J295" i="1"/>
  <c r="J296" i="1"/>
  <c r="K296" i="1" s="1"/>
  <c r="J229" i="1"/>
  <c r="J110" i="1"/>
  <c r="J373" i="1"/>
  <c r="J374" i="1"/>
  <c r="K374" i="1" s="1"/>
  <c r="J230" i="1"/>
  <c r="J111" i="1"/>
  <c r="J297" i="1"/>
  <c r="J177" i="1"/>
  <c r="J18" i="1"/>
  <c r="J15" i="1"/>
  <c r="J375" i="1"/>
  <c r="J298" i="1"/>
  <c r="J231" i="1"/>
  <c r="J299" i="1"/>
  <c r="J178" i="1"/>
  <c r="J139" i="1"/>
  <c r="K139" i="1" s="1"/>
  <c r="J90" i="1"/>
  <c r="J300" i="1"/>
  <c r="K300" i="1" s="1"/>
  <c r="J301" i="1"/>
  <c r="K301" i="1" s="1"/>
  <c r="J302" i="1"/>
  <c r="J405" i="1"/>
  <c r="J406" i="1"/>
  <c r="J232" i="1"/>
  <c r="J376" i="1"/>
  <c r="J377" i="1"/>
  <c r="J378" i="1"/>
  <c r="J379" i="1"/>
  <c r="J140" i="1"/>
  <c r="J878" i="1"/>
  <c r="J24" i="1"/>
  <c r="J420" i="1"/>
  <c r="K420" i="1" s="1"/>
  <c r="J459" i="1"/>
  <c r="J112" i="1"/>
  <c r="K112" i="1" s="1"/>
  <c r="J533" i="1"/>
  <c r="K533" i="1" s="1"/>
  <c r="J303" i="1"/>
  <c r="J440" i="1"/>
  <c r="J441" i="1"/>
  <c r="J681" i="1"/>
  <c r="J489" i="1"/>
  <c r="J879" i="1"/>
  <c r="J1110" i="1"/>
  <c r="J1111" i="1"/>
  <c r="J490" i="1"/>
  <c r="J304" i="1"/>
  <c r="J460" i="1"/>
  <c r="J421" i="1"/>
  <c r="K421" i="1" s="1"/>
  <c r="J91" i="1"/>
  <c r="J442" i="1"/>
  <c r="K442" i="1" s="1"/>
  <c r="J422" i="1"/>
  <c r="K422" i="1" s="1"/>
  <c r="J113" i="1"/>
  <c r="J443" i="1"/>
  <c r="J534" i="1"/>
  <c r="J461" i="1"/>
  <c r="J1112" i="1"/>
  <c r="J682" i="1"/>
  <c r="J491" i="1"/>
  <c r="J444" i="1"/>
  <c r="J1113" i="1"/>
  <c r="J683" i="1"/>
  <c r="J462" i="1"/>
  <c r="K462" i="1" s="1"/>
  <c r="J463" i="1"/>
  <c r="J30" i="1"/>
  <c r="J5" i="1"/>
  <c r="J492" i="1"/>
  <c r="K492" i="1" s="1"/>
  <c r="J305" i="1"/>
  <c r="K305" i="1" s="1"/>
  <c r="J114" i="1"/>
  <c r="J1114" i="1"/>
  <c r="J179" i="1"/>
  <c r="J684" i="1"/>
  <c r="J19" i="1"/>
  <c r="J445" i="1"/>
  <c r="J1115" i="1"/>
  <c r="J56" i="1"/>
  <c r="J1116" i="1"/>
  <c r="J1117" i="1"/>
  <c r="J685" i="1"/>
  <c r="K685" i="1" s="1"/>
  <c r="J880" i="1"/>
  <c r="J881" i="1"/>
  <c r="K881" i="1" s="1"/>
  <c r="J141" i="1"/>
  <c r="K141" i="1" s="1"/>
  <c r="J464" i="1"/>
  <c r="J1118" i="1"/>
  <c r="J92" i="1"/>
  <c r="J1119" i="1"/>
  <c r="J493" i="1"/>
  <c r="J1120" i="1"/>
  <c r="J882" i="1"/>
  <c r="J43" i="1"/>
  <c r="J883" i="1"/>
  <c r="J233" i="1"/>
  <c r="J535" i="1"/>
  <c r="K535" i="1" s="1"/>
  <c r="J536" i="1"/>
  <c r="J142" i="1"/>
  <c r="K142" i="1" s="1"/>
  <c r="J884" i="1"/>
  <c r="K884" i="1" s="1"/>
  <c r="J885" i="1"/>
  <c r="J686" i="1"/>
  <c r="J465" i="1"/>
  <c r="J1121" i="1"/>
  <c r="J494" i="1"/>
  <c r="J687" i="1"/>
  <c r="J466" i="1"/>
  <c r="J886" i="1"/>
  <c r="J467" i="1"/>
  <c r="J688" i="1"/>
  <c r="J887" i="1"/>
  <c r="K887" i="1" s="1"/>
  <c r="J537" i="1"/>
  <c r="J115" i="1"/>
  <c r="K115" i="1" s="1"/>
  <c r="J468" i="1"/>
  <c r="K468" i="1" s="1"/>
  <c r="J446" i="1"/>
  <c r="J888" i="1"/>
  <c r="J423" i="1"/>
  <c r="J306" i="1"/>
  <c r="J93" i="1"/>
  <c r="J469" i="1"/>
  <c r="J424" i="1"/>
  <c r="J94" i="1"/>
  <c r="J538" i="1"/>
  <c r="J539" i="1"/>
  <c r="J889" i="1"/>
  <c r="K889" i="1" s="1"/>
  <c r="J540" i="1"/>
  <c r="J1122" i="1"/>
  <c r="K1122" i="1" s="1"/>
  <c r="J890" i="1"/>
  <c r="K890" i="1" s="1"/>
  <c r="J689" i="1"/>
  <c r="J495" i="1"/>
  <c r="J1123" i="1"/>
  <c r="J891" i="1"/>
  <c r="J470" i="1"/>
  <c r="J425" i="1"/>
  <c r="J541" i="1"/>
  <c r="J496" i="1"/>
  <c r="J892" i="1"/>
  <c r="J1124" i="1"/>
  <c r="K1124" i="1" s="1"/>
  <c r="J542" i="1"/>
  <c r="J116" i="1"/>
  <c r="K116" i="1" s="1"/>
  <c r="J690" i="1"/>
  <c r="K690" i="1" s="1"/>
  <c r="J426" i="1"/>
  <c r="J39" i="1"/>
  <c r="J691" i="1"/>
  <c r="J543" i="1"/>
  <c r="J1125" i="1"/>
  <c r="J307" i="1"/>
  <c r="J447" i="1"/>
  <c r="J380" i="1"/>
  <c r="J1126" i="1"/>
  <c r="J471" i="1"/>
  <c r="K471" i="1" s="1"/>
  <c r="J427" i="1"/>
  <c r="J448" i="1"/>
  <c r="K448" i="1" s="1"/>
  <c r="J1127" i="1"/>
  <c r="J544" i="1"/>
  <c r="K544" i="1" s="1"/>
  <c r="J545" i="1"/>
  <c r="J692" i="1"/>
  <c r="J234" i="1"/>
  <c r="J235" i="1"/>
  <c r="J693" i="1"/>
  <c r="J236" i="1"/>
  <c r="J694" i="1"/>
  <c r="J381" i="1"/>
  <c r="J472" i="1"/>
  <c r="K472" i="1" s="1"/>
  <c r="J497" i="1"/>
  <c r="J1128" i="1"/>
  <c r="J498" i="1"/>
  <c r="K498" i="1" s="1"/>
  <c r="J1129" i="1"/>
  <c r="K1129" i="1" s="1"/>
  <c r="J893" i="1"/>
  <c r="J1130" i="1"/>
  <c r="J1131" i="1"/>
  <c r="J1132" i="1"/>
  <c r="J382" i="1"/>
  <c r="J695" i="1"/>
  <c r="J696" i="1"/>
  <c r="J65" i="1"/>
  <c r="J697" i="1"/>
  <c r="K697" i="1" s="1"/>
  <c r="J407" i="1"/>
  <c r="J408" i="1"/>
  <c r="J308" i="1"/>
  <c r="K308" i="1" s="1"/>
  <c r="J546" i="1"/>
  <c r="K546" i="1" s="1"/>
  <c r="J473" i="1"/>
  <c r="J409" i="1"/>
  <c r="J449" i="1"/>
  <c r="J428" i="1"/>
  <c r="J547" i="1"/>
  <c r="J474" i="1"/>
  <c r="J548" i="1"/>
  <c r="J894" i="1"/>
  <c r="J549" i="1"/>
  <c r="J895" i="1"/>
  <c r="K895" i="1" s="1"/>
  <c r="J896" i="1"/>
  <c r="J550" i="1"/>
  <c r="K550" i="1" s="1"/>
  <c r="J897" i="1"/>
  <c r="K897" i="1" s="1"/>
  <c r="J499" i="1"/>
  <c r="J698" i="1"/>
  <c r="J383" i="1"/>
  <c r="J500" i="1"/>
  <c r="J1133" i="1"/>
  <c r="J475" i="1"/>
  <c r="J699" i="1"/>
  <c r="J450" i="1"/>
  <c r="J384" i="1"/>
  <c r="J429" i="1"/>
  <c r="K429" i="1" s="1"/>
  <c r="J410" i="1"/>
  <c r="J551" i="1"/>
  <c r="K551" i="1" s="1"/>
  <c r="J700" i="1"/>
  <c r="K700" i="1" s="1"/>
  <c r="J701" i="1"/>
  <c r="J898" i="1"/>
  <c r="J552" i="1"/>
  <c r="J501" i="1"/>
  <c r="J117" i="1"/>
  <c r="J1134" i="1"/>
  <c r="J237" i="1"/>
  <c r="J1135" i="1"/>
  <c r="J411" i="1"/>
  <c r="J430" i="1"/>
  <c r="K430" i="1" s="1"/>
  <c r="J502" i="1"/>
  <c r="J118" i="1"/>
  <c r="K118" i="1" s="1"/>
  <c r="J476" i="1"/>
  <c r="K476" i="1" s="1"/>
  <c r="J477" i="1"/>
  <c r="J899" i="1"/>
  <c r="J702" i="1"/>
  <c r="J503" i="1"/>
  <c r="J1136" i="1"/>
  <c r="J504" i="1"/>
  <c r="J553" i="1"/>
  <c r="J900" i="1"/>
  <c r="J478" i="1"/>
  <c r="J309" i="1"/>
  <c r="K309" i="1" s="1"/>
  <c r="J1137" i="1"/>
  <c r="J412" i="1"/>
  <c r="K412" i="1" s="1"/>
  <c r="J1138" i="1"/>
  <c r="K1138" i="1" s="1"/>
  <c r="J703" i="1"/>
  <c r="J50" i="1"/>
  <c r="J413" i="1"/>
  <c r="J119" i="1"/>
  <c r="J431" i="1"/>
  <c r="J1139" i="1"/>
  <c r="J704" i="1"/>
  <c r="J505" i="1"/>
  <c r="J40" i="1"/>
  <c r="K40" i="1" s="1"/>
  <c r="J1140" i="1"/>
  <c r="J414" i="1"/>
  <c r="K414" i="1" s="1"/>
  <c r="J385" i="1"/>
  <c r="K385" i="1" s="1"/>
  <c r="J901" i="1"/>
  <c r="J705" i="1"/>
  <c r="J554" i="1"/>
  <c r="J451" i="1"/>
  <c r="J479" i="1"/>
  <c r="J432" i="1"/>
  <c r="J555" i="1"/>
  <c r="J506" i="1"/>
  <c r="J706" i="1"/>
  <c r="K706" i="1" s="1"/>
  <c r="J507" i="1"/>
  <c r="J556" i="1"/>
  <c r="K556" i="1" s="1"/>
  <c r="J902" i="1"/>
  <c r="K902" i="1" s="1"/>
  <c r="J386" i="1"/>
  <c r="J73" i="1"/>
  <c r="J238" i="1"/>
  <c r="J143" i="1"/>
  <c r="J310" i="1"/>
  <c r="J44" i="1"/>
  <c r="J36" i="1"/>
  <c r="J415" i="1"/>
  <c r="J180" i="1"/>
  <c r="K180" i="1" s="1"/>
  <c r="J120" i="1"/>
  <c r="J387" i="1"/>
  <c r="K387" i="1" s="1"/>
  <c r="J388" i="1"/>
  <c r="K388" i="1" s="1"/>
  <c r="J144" i="1"/>
  <c r="J239" i="1"/>
  <c r="J389" i="1"/>
  <c r="J240" i="1"/>
  <c r="J241" i="1"/>
  <c r="J311" i="1"/>
  <c r="J181" i="1"/>
  <c r="J242" i="1"/>
  <c r="J390" i="1"/>
  <c r="K390" i="1" s="1"/>
  <c r="J145" i="1"/>
  <c r="J391" i="1"/>
  <c r="K391" i="1" s="1"/>
  <c r="J243" i="1"/>
  <c r="K243" i="1" s="1"/>
  <c r="J312" i="1"/>
  <c r="J313" i="1"/>
  <c r="J182" i="1"/>
  <c r="J183" i="1"/>
  <c r="J184" i="1"/>
  <c r="J314" i="1"/>
  <c r="J392" i="1"/>
  <c r="J315" i="1"/>
  <c r="J146" i="1"/>
  <c r="K146" i="1" s="1"/>
  <c r="J185" i="1"/>
  <c r="J186" i="1"/>
  <c r="K186" i="1" s="1"/>
  <c r="J316" i="1"/>
  <c r="K316" i="1" s="1"/>
  <c r="J244" i="1"/>
  <c r="J121" i="1"/>
  <c r="J95" i="1"/>
  <c r="J245" i="1"/>
  <c r="J393" i="1"/>
  <c r="J187" i="1"/>
  <c r="J416" i="1"/>
  <c r="J96" i="1"/>
  <c r="J433" i="1"/>
  <c r="K433" i="1" s="1"/>
  <c r="J434" i="1"/>
  <c r="J35" i="1"/>
  <c r="K35" i="1" s="1"/>
  <c r="J246" i="1"/>
  <c r="K246" i="1" s="1"/>
  <c r="J480" i="1"/>
  <c r="J28" i="1"/>
  <c r="J557" i="1"/>
  <c r="J188" i="1"/>
  <c r="J508" i="1"/>
  <c r="J20" i="1"/>
  <c r="J97" i="1"/>
  <c r="J1141" i="1"/>
  <c r="J147" i="1"/>
  <c r="K147" i="1" s="1"/>
  <c r="J452" i="1"/>
  <c r="J481" i="1"/>
  <c r="K481" i="1" s="1"/>
  <c r="J98" i="1"/>
  <c r="K98" i="1" s="1"/>
  <c r="J148" i="1"/>
  <c r="J482" i="1"/>
  <c r="J417" i="1"/>
  <c r="J903" i="1"/>
  <c r="J453" i="1"/>
  <c r="J454" i="1"/>
  <c r="J558" i="1"/>
  <c r="J26" i="1"/>
  <c r="J16" i="1"/>
  <c r="K16" i="1" s="1"/>
  <c r="J707" i="1"/>
  <c r="J455" i="1"/>
  <c r="K455" i="1" s="1"/>
  <c r="J435" i="1"/>
  <c r="K435" i="1" s="1"/>
  <c r="J559" i="1"/>
  <c r="J57" i="1"/>
  <c r="J483" i="1"/>
  <c r="J394" i="1"/>
  <c r="J509" i="1"/>
  <c r="J560" i="1"/>
  <c r="J1142" i="1"/>
  <c r="J12" i="1"/>
  <c r="J561" i="1"/>
  <c r="K561" i="1" s="1"/>
  <c r="J99" i="1"/>
  <c r="J247" i="1"/>
  <c r="K247" i="1" s="1"/>
  <c r="J904" i="1"/>
  <c r="K904" i="1" s="1"/>
  <c r="J1143" i="1"/>
  <c r="J45" i="1"/>
  <c r="J149" i="1"/>
  <c r="J1144" i="1"/>
  <c r="J122" i="1"/>
  <c r="J436" i="1"/>
  <c r="J150" i="1"/>
  <c r="J708" i="1"/>
  <c r="J905" i="1"/>
  <c r="K905" i="1" s="1"/>
  <c r="J395" i="1"/>
  <c r="J418" i="1"/>
  <c r="K418" i="1" s="1"/>
  <c r="J510" i="1"/>
  <c r="P790" i="1" l="1"/>
  <c r="K487" i="1"/>
  <c r="P730" i="1"/>
  <c r="P725" i="1"/>
  <c r="P908" i="1"/>
  <c r="P201" i="1"/>
  <c r="P429" i="1"/>
  <c r="P448" i="1"/>
  <c r="P690" i="1"/>
  <c r="P210" i="1"/>
  <c r="P284" i="1"/>
  <c r="P636" i="1"/>
  <c r="P897" i="1"/>
  <c r="P272" i="1"/>
  <c r="P628" i="1"/>
  <c r="P575" i="1"/>
  <c r="P142" i="1"/>
  <c r="P11" i="1"/>
  <c r="P619" i="1"/>
  <c r="P712" i="1"/>
  <c r="P418" i="1"/>
  <c r="P535" i="1"/>
  <c r="P77" i="1"/>
  <c r="P764" i="1"/>
  <c r="P905" i="1"/>
  <c r="P141" i="1"/>
  <c r="P191" i="1"/>
  <c r="P967" i="1"/>
  <c r="P35" i="1"/>
  <c r="P112" i="1"/>
  <c r="P532" i="1"/>
  <c r="P966" i="1"/>
  <c r="P433" i="1"/>
  <c r="P420" i="1"/>
  <c r="P1083" i="1"/>
  <c r="P959" i="1"/>
  <c r="P556" i="1"/>
  <c r="P301" i="1"/>
  <c r="P665" i="1"/>
  <c r="P749" i="1"/>
  <c r="P706" i="1"/>
  <c r="P175" i="1"/>
  <c r="P659" i="1"/>
  <c r="P742" i="1"/>
  <c r="P1003" i="1"/>
  <c r="P551" i="1"/>
  <c r="P23" i="1"/>
  <c r="P840" i="1"/>
  <c r="P588" i="1"/>
  <c r="K45" i="1"/>
  <c r="P45" i="1"/>
  <c r="K705" i="1"/>
  <c r="P705" i="1"/>
  <c r="K1133" i="1"/>
  <c r="P1133" i="1"/>
  <c r="K1115" i="1"/>
  <c r="P1115" i="1"/>
  <c r="K275" i="1"/>
  <c r="P275" i="1"/>
  <c r="K621" i="1"/>
  <c r="P621" i="1"/>
  <c r="P215" i="1"/>
  <c r="K480" i="1"/>
  <c r="P480" i="1"/>
  <c r="K386" i="1"/>
  <c r="P386" i="1"/>
  <c r="K899" i="1"/>
  <c r="P899" i="1"/>
  <c r="K500" i="1"/>
  <c r="P500" i="1"/>
  <c r="K1126" i="1"/>
  <c r="P1126" i="1"/>
  <c r="K445" i="1"/>
  <c r="P445" i="1"/>
  <c r="K232" i="1"/>
  <c r="P232" i="1"/>
  <c r="K72" i="1"/>
  <c r="P72" i="1"/>
  <c r="K354" i="1"/>
  <c r="P354" i="1"/>
  <c r="K82" i="1"/>
  <c r="P82" i="1"/>
  <c r="K345" i="1"/>
  <c r="P345" i="1"/>
  <c r="K252" i="1"/>
  <c r="P252" i="1"/>
  <c r="K1091" i="1"/>
  <c r="P1091" i="1"/>
  <c r="K844" i="1"/>
  <c r="P844" i="1"/>
  <c r="K1021" i="1"/>
  <c r="P1021" i="1"/>
  <c r="K620" i="1"/>
  <c r="P620" i="1"/>
  <c r="K783" i="1"/>
  <c r="P783" i="1"/>
  <c r="K776" i="1"/>
  <c r="P776" i="1"/>
  <c r="K771" i="1"/>
  <c r="P771" i="1"/>
  <c r="K765" i="1"/>
  <c r="P765" i="1"/>
  <c r="K601" i="1"/>
  <c r="P601" i="1"/>
  <c r="K726" i="1"/>
  <c r="P726" i="1"/>
  <c r="K713" i="1"/>
  <c r="P713" i="1"/>
  <c r="K563" i="1"/>
  <c r="P563" i="1"/>
  <c r="P471" i="1"/>
  <c r="P917" i="1"/>
  <c r="K73" i="1"/>
  <c r="P73" i="1"/>
  <c r="K542" i="1"/>
  <c r="P542" i="1"/>
  <c r="K298" i="1"/>
  <c r="P298" i="1"/>
  <c r="K137" i="1"/>
  <c r="P137" i="1"/>
  <c r="K216" i="1"/>
  <c r="P216" i="1"/>
  <c r="K83" i="1"/>
  <c r="P83" i="1"/>
  <c r="K346" i="1"/>
  <c r="P346" i="1"/>
  <c r="K334" i="1"/>
  <c r="P334" i="1"/>
  <c r="K123" i="1"/>
  <c r="P123" i="1"/>
  <c r="K677" i="1"/>
  <c r="P677" i="1"/>
  <c r="K1057" i="1"/>
  <c r="P1057" i="1"/>
  <c r="K1033" i="1"/>
  <c r="P1033" i="1"/>
  <c r="K1005" i="1"/>
  <c r="P1005" i="1"/>
  <c r="K988" i="1"/>
  <c r="P988" i="1"/>
  <c r="K970" i="1"/>
  <c r="P970" i="1"/>
  <c r="K579" i="1"/>
  <c r="P579" i="1"/>
  <c r="K559" i="1"/>
  <c r="P559" i="1"/>
  <c r="K375" i="1"/>
  <c r="P375" i="1"/>
  <c r="K167" i="1"/>
  <c r="P167" i="1"/>
  <c r="K42" i="1"/>
  <c r="P42" i="1"/>
  <c r="K823" i="1"/>
  <c r="P823" i="1"/>
  <c r="K585" i="1"/>
  <c r="P585" i="1"/>
  <c r="K347" i="1"/>
  <c r="P347" i="1"/>
  <c r="K195" i="1"/>
  <c r="P195" i="1"/>
  <c r="K1062" i="1"/>
  <c r="P1062" i="1"/>
  <c r="K1026" i="1"/>
  <c r="P1026" i="1"/>
  <c r="K626" i="1"/>
  <c r="P626" i="1"/>
  <c r="K975" i="1"/>
  <c r="P975" i="1"/>
  <c r="K731" i="1"/>
  <c r="P731" i="1"/>
  <c r="P904" i="1"/>
  <c r="P316" i="1"/>
  <c r="P385" i="1"/>
  <c r="P865" i="1"/>
  <c r="P836" i="1"/>
  <c r="P998" i="1"/>
  <c r="P568" i="1"/>
  <c r="K701" i="1"/>
  <c r="P701" i="1"/>
  <c r="K698" i="1"/>
  <c r="P698" i="1"/>
  <c r="K449" i="1"/>
  <c r="P449" i="1"/>
  <c r="K1132" i="1"/>
  <c r="P1132" i="1"/>
  <c r="K693" i="1"/>
  <c r="P693" i="1"/>
  <c r="K447" i="1"/>
  <c r="P447" i="1"/>
  <c r="K496" i="1"/>
  <c r="P496" i="1"/>
  <c r="K539" i="1"/>
  <c r="P539" i="1"/>
  <c r="K537" i="1"/>
  <c r="P537" i="1"/>
  <c r="K1118" i="1"/>
  <c r="P1118" i="1"/>
  <c r="K684" i="1"/>
  <c r="P684" i="1"/>
  <c r="K444" i="1"/>
  <c r="P444" i="1"/>
  <c r="K460" i="1"/>
  <c r="P460" i="1"/>
  <c r="K405" i="1"/>
  <c r="P405" i="1"/>
  <c r="K18" i="1"/>
  <c r="P18" i="1"/>
  <c r="K228" i="1"/>
  <c r="P228" i="1"/>
  <c r="K288" i="1"/>
  <c r="P288" i="1"/>
  <c r="K223" i="1"/>
  <c r="P223" i="1"/>
  <c r="K220" i="1"/>
  <c r="P220" i="1"/>
  <c r="K353" i="1"/>
  <c r="P353" i="1"/>
  <c r="K351" i="1"/>
  <c r="P351" i="1"/>
  <c r="K268" i="1"/>
  <c r="P268" i="1"/>
  <c r="K207" i="1"/>
  <c r="P207" i="1"/>
  <c r="K344" i="1"/>
  <c r="P344" i="1"/>
  <c r="K162" i="1"/>
  <c r="P162" i="1"/>
  <c r="K68" i="1"/>
  <c r="P68" i="1"/>
  <c r="K333" i="1"/>
  <c r="P333" i="1"/>
  <c r="K124" i="1"/>
  <c r="P124" i="1"/>
  <c r="K154" i="1"/>
  <c r="P154" i="1"/>
  <c r="K151" i="1"/>
  <c r="P151" i="1"/>
  <c r="K248" i="1"/>
  <c r="P248" i="1"/>
  <c r="K1096" i="1"/>
  <c r="P1096" i="1"/>
  <c r="K871" i="1"/>
  <c r="P871" i="1"/>
  <c r="K1080" i="1"/>
  <c r="P1080" i="1"/>
  <c r="K1061" i="1"/>
  <c r="P1061" i="1"/>
  <c r="K1054" i="1"/>
  <c r="P1054" i="1"/>
  <c r="K856" i="1"/>
  <c r="P856" i="1"/>
  <c r="K529" i="1"/>
  <c r="P529" i="1"/>
  <c r="K528" i="1"/>
  <c r="P528" i="1"/>
  <c r="K834" i="1"/>
  <c r="P834" i="1"/>
  <c r="K652" i="1"/>
  <c r="P652" i="1"/>
  <c r="K828" i="1"/>
  <c r="P828" i="1"/>
  <c r="K1020" i="1"/>
  <c r="P1020" i="1"/>
  <c r="K1016" i="1"/>
  <c r="P1016" i="1"/>
  <c r="K1012" i="1"/>
  <c r="P1012" i="1"/>
  <c r="K635" i="1"/>
  <c r="P635" i="1"/>
  <c r="K801" i="1"/>
  <c r="P801" i="1"/>
  <c r="K999" i="1"/>
  <c r="P999" i="1"/>
  <c r="P247" i="1"/>
  <c r="P186" i="1"/>
  <c r="P414" i="1"/>
  <c r="P550" i="1"/>
  <c r="P116" i="1"/>
  <c r="P881" i="1"/>
  <c r="P300" i="1"/>
  <c r="P360" i="1"/>
  <c r="P209" i="1"/>
  <c r="P199" i="1"/>
  <c r="P101" i="1"/>
  <c r="P1073" i="1"/>
  <c r="P527" i="1"/>
  <c r="P958" i="1"/>
  <c r="K482" i="1"/>
  <c r="P482" i="1"/>
  <c r="K50" i="1"/>
  <c r="P50" i="1"/>
  <c r="K696" i="1"/>
  <c r="P696" i="1"/>
  <c r="K493" i="1"/>
  <c r="P493" i="1"/>
  <c r="K336" i="1"/>
  <c r="P336" i="1"/>
  <c r="K1047" i="1"/>
  <c r="P1047" i="1"/>
  <c r="K650" i="1"/>
  <c r="P650" i="1"/>
  <c r="K1001" i="1"/>
  <c r="P1001" i="1"/>
  <c r="K772" i="1"/>
  <c r="P772" i="1"/>
  <c r="K949" i="1"/>
  <c r="P949" i="1"/>
  <c r="K924" i="1"/>
  <c r="P924" i="1"/>
  <c r="P78" i="1"/>
  <c r="K312" i="1"/>
  <c r="P312" i="1"/>
  <c r="K540" i="1"/>
  <c r="P540" i="1"/>
  <c r="K295" i="1"/>
  <c r="P295" i="1"/>
  <c r="K130" i="1"/>
  <c r="P130" i="1"/>
  <c r="K488" i="1"/>
  <c r="P488" i="1"/>
  <c r="K593" i="1"/>
  <c r="P593" i="1"/>
  <c r="K236" i="1"/>
  <c r="P236" i="1"/>
  <c r="K278" i="1"/>
  <c r="P278" i="1"/>
  <c r="K128" i="1"/>
  <c r="P128" i="1"/>
  <c r="K1090" i="1"/>
  <c r="P1090" i="1"/>
  <c r="K660" i="1"/>
  <c r="P660" i="1"/>
  <c r="K523" i="1"/>
  <c r="P523" i="1"/>
  <c r="K600" i="1"/>
  <c r="P600" i="1"/>
  <c r="K923" i="1"/>
  <c r="P923" i="1"/>
  <c r="K395" i="1"/>
  <c r="P395" i="1"/>
  <c r="K99" i="1"/>
  <c r="P99" i="1"/>
  <c r="K707" i="1"/>
  <c r="P707" i="1"/>
  <c r="K452" i="1"/>
  <c r="P452" i="1"/>
  <c r="K434" i="1"/>
  <c r="P434" i="1"/>
  <c r="K185" i="1"/>
  <c r="P185" i="1"/>
  <c r="K145" i="1"/>
  <c r="P145" i="1"/>
  <c r="K120" i="1"/>
  <c r="P120" i="1"/>
  <c r="K507" i="1"/>
  <c r="P507" i="1"/>
  <c r="K1140" i="1"/>
  <c r="P1140" i="1"/>
  <c r="K1137" i="1"/>
  <c r="P1137" i="1"/>
  <c r="K499" i="1"/>
  <c r="P499" i="1"/>
  <c r="K409" i="1"/>
  <c r="P409" i="1"/>
  <c r="K1131" i="1"/>
  <c r="P1131" i="1"/>
  <c r="K235" i="1"/>
  <c r="P235" i="1"/>
  <c r="K307" i="1"/>
  <c r="P307" i="1"/>
  <c r="K541" i="1"/>
  <c r="P541" i="1"/>
  <c r="K538" i="1"/>
  <c r="P538" i="1"/>
  <c r="K464" i="1"/>
  <c r="P464" i="1"/>
  <c r="K179" i="1"/>
  <c r="P179" i="1"/>
  <c r="K491" i="1"/>
  <c r="P491" i="1"/>
  <c r="K304" i="1"/>
  <c r="P304" i="1"/>
  <c r="K459" i="1"/>
  <c r="P459" i="1"/>
  <c r="K302" i="1"/>
  <c r="P302" i="1"/>
  <c r="K177" i="1"/>
  <c r="P177" i="1"/>
  <c r="K227" i="1"/>
  <c r="P227" i="1"/>
  <c r="K365" i="1"/>
  <c r="P365" i="1"/>
  <c r="K64" i="1"/>
  <c r="P64" i="1"/>
  <c r="K174" i="1"/>
  <c r="P174" i="1"/>
  <c r="K403" i="1"/>
  <c r="P403" i="1"/>
  <c r="K173" i="1"/>
  <c r="P173" i="1"/>
  <c r="K352" i="1"/>
  <c r="P352" i="1"/>
  <c r="K134" i="1"/>
  <c r="P134" i="1"/>
  <c r="K214" i="1"/>
  <c r="P214" i="1"/>
  <c r="K165" i="1"/>
  <c r="P165" i="1"/>
  <c r="K205" i="1"/>
  <c r="P205" i="1"/>
  <c r="K69" i="1"/>
  <c r="P69" i="1"/>
  <c r="K200" i="1"/>
  <c r="P200" i="1"/>
  <c r="K332" i="1"/>
  <c r="P332" i="1"/>
  <c r="K254" i="1"/>
  <c r="P254" i="1"/>
  <c r="K325" i="1"/>
  <c r="P325" i="1"/>
  <c r="K320" i="1"/>
  <c r="P320" i="1"/>
  <c r="K75" i="1"/>
  <c r="P75" i="1"/>
  <c r="K1101" i="1"/>
  <c r="P1101" i="1"/>
  <c r="K876" i="1"/>
  <c r="P876" i="1"/>
  <c r="K870" i="1"/>
  <c r="P870" i="1"/>
  <c r="K1084" i="1"/>
  <c r="P1084" i="1"/>
  <c r="K1079" i="1"/>
  <c r="P1079" i="1"/>
  <c r="K1071" i="1"/>
  <c r="P1071" i="1"/>
  <c r="K863" i="1"/>
  <c r="P863" i="1"/>
  <c r="K1053" i="1"/>
  <c r="P1053" i="1"/>
  <c r="K1049" i="1"/>
  <c r="P1049" i="1"/>
  <c r="K663" i="1"/>
  <c r="P663" i="1"/>
  <c r="K658" i="1"/>
  <c r="P658" i="1"/>
  <c r="K843" i="1"/>
  <c r="P843" i="1"/>
  <c r="K655" i="1"/>
  <c r="P655" i="1"/>
  <c r="K651" i="1"/>
  <c r="P651" i="1"/>
  <c r="K1025" i="1"/>
  <c r="P1025" i="1"/>
  <c r="K821" i="1"/>
  <c r="P821" i="1"/>
  <c r="K644" i="1"/>
  <c r="P644" i="1"/>
  <c r="K812" i="1"/>
  <c r="P812" i="1"/>
  <c r="K1011" i="1"/>
  <c r="P1011" i="1"/>
  <c r="K634" i="1"/>
  <c r="P634" i="1"/>
  <c r="K629" i="1"/>
  <c r="P629" i="1"/>
  <c r="K625" i="1"/>
  <c r="P625" i="1"/>
  <c r="K997" i="1"/>
  <c r="P997" i="1"/>
  <c r="K993" i="1"/>
  <c r="P993" i="1"/>
  <c r="K780" i="1"/>
  <c r="P780" i="1"/>
  <c r="K614" i="1"/>
  <c r="P614" i="1"/>
  <c r="K769" i="1"/>
  <c r="P769" i="1"/>
  <c r="K610" i="1"/>
  <c r="P610" i="1"/>
  <c r="K979" i="1"/>
  <c r="P979" i="1"/>
  <c r="K973" i="1"/>
  <c r="P973" i="1"/>
  <c r="K968" i="1"/>
  <c r="P968" i="1"/>
  <c r="K597" i="1"/>
  <c r="P597" i="1"/>
  <c r="K592" i="1"/>
  <c r="P592" i="1"/>
  <c r="K746" i="1"/>
  <c r="P746" i="1"/>
  <c r="K589" i="1"/>
  <c r="P589" i="1"/>
  <c r="K944" i="1"/>
  <c r="P944" i="1"/>
  <c r="K733" i="1"/>
  <c r="P733" i="1"/>
  <c r="K934" i="1"/>
  <c r="P934" i="1"/>
  <c r="K929" i="1"/>
  <c r="P929" i="1"/>
  <c r="K512" i="1"/>
  <c r="P512" i="1"/>
  <c r="K572" i="1"/>
  <c r="P572" i="1"/>
  <c r="K916" i="1"/>
  <c r="P916" i="1"/>
  <c r="K911" i="1"/>
  <c r="P911" i="1"/>
  <c r="K562" i="1"/>
  <c r="P562" i="1"/>
  <c r="P561" i="1"/>
  <c r="P146" i="1"/>
  <c r="P40" i="1"/>
  <c r="P895" i="1"/>
  <c r="P1124" i="1"/>
  <c r="P685" i="1"/>
  <c r="P139" i="1"/>
  <c r="P282" i="1"/>
  <c r="P208" i="1"/>
  <c r="P198" i="1"/>
  <c r="P249" i="1"/>
  <c r="P1070" i="1"/>
  <c r="P830" i="1"/>
  <c r="K239" i="1"/>
  <c r="P239" i="1"/>
  <c r="K376" i="1"/>
  <c r="P376" i="1"/>
  <c r="K62" i="1"/>
  <c r="P62" i="1"/>
  <c r="K100" i="1"/>
  <c r="P100" i="1"/>
  <c r="K817" i="1"/>
  <c r="P817" i="1"/>
  <c r="K759" i="1"/>
  <c r="P759" i="1"/>
  <c r="K921" i="1"/>
  <c r="P921" i="1"/>
  <c r="K552" i="1"/>
  <c r="P552" i="1"/>
  <c r="K303" i="1"/>
  <c r="P303" i="1"/>
  <c r="K399" i="1"/>
  <c r="P399" i="1"/>
  <c r="K864" i="1"/>
  <c r="P864" i="1"/>
  <c r="K1008" i="1"/>
  <c r="P1008" i="1"/>
  <c r="K920" i="1"/>
  <c r="P920" i="1"/>
  <c r="K383" i="1"/>
  <c r="P383" i="1"/>
  <c r="K885" i="1"/>
  <c r="P885" i="1"/>
  <c r="K79" i="1"/>
  <c r="P79" i="1"/>
  <c r="K6" i="1"/>
  <c r="P6" i="1"/>
  <c r="K1055" i="1"/>
  <c r="P1055" i="1"/>
  <c r="K822" i="1"/>
  <c r="P822" i="1"/>
  <c r="K616" i="1"/>
  <c r="P616" i="1"/>
  <c r="K946" i="1"/>
  <c r="P946" i="1"/>
  <c r="K709" i="1"/>
  <c r="P709" i="1"/>
  <c r="K94" i="1"/>
  <c r="P94" i="1"/>
  <c r="K362" i="1"/>
  <c r="P362" i="1"/>
  <c r="K400" i="1"/>
  <c r="P400" i="1"/>
  <c r="K260" i="1"/>
  <c r="P260" i="1"/>
  <c r="K194" i="1"/>
  <c r="P194" i="1"/>
  <c r="K1100" i="1"/>
  <c r="P1100" i="1"/>
  <c r="K1060" i="1"/>
  <c r="P1060" i="1"/>
  <c r="K842" i="1"/>
  <c r="P842" i="1"/>
  <c r="K815" i="1"/>
  <c r="P815" i="1"/>
  <c r="K1015" i="1"/>
  <c r="P1015" i="1"/>
  <c r="K779" i="1"/>
  <c r="P779" i="1"/>
  <c r="K987" i="1"/>
  <c r="P987" i="1"/>
  <c r="K985" i="1"/>
  <c r="P985" i="1"/>
  <c r="K978" i="1"/>
  <c r="P978" i="1"/>
  <c r="K754" i="1"/>
  <c r="P754" i="1"/>
  <c r="K599" i="1"/>
  <c r="P599" i="1"/>
  <c r="K964" i="1"/>
  <c r="P964" i="1"/>
  <c r="K745" i="1"/>
  <c r="P745" i="1"/>
  <c r="K741" i="1"/>
  <c r="P741" i="1"/>
  <c r="K943" i="1"/>
  <c r="P943" i="1"/>
  <c r="K583" i="1"/>
  <c r="P583" i="1"/>
  <c r="K933" i="1"/>
  <c r="P933" i="1"/>
  <c r="K484" i="1"/>
  <c r="P484" i="1"/>
  <c r="K571" i="1"/>
  <c r="P571" i="1"/>
  <c r="K915" i="1"/>
  <c r="P915" i="1"/>
  <c r="K910" i="1"/>
  <c r="P910" i="1"/>
  <c r="P435" i="1"/>
  <c r="P243" i="1"/>
  <c r="P1138" i="1"/>
  <c r="P546" i="1"/>
  <c r="P890" i="1"/>
  <c r="P305" i="1"/>
  <c r="P374" i="1"/>
  <c r="P135" i="1"/>
  <c r="P1108" i="1"/>
  <c r="P126" i="1"/>
  <c r="P2" i="1"/>
  <c r="P1059" i="1"/>
  <c r="P525" i="1"/>
  <c r="P991" i="1"/>
  <c r="P743" i="1"/>
  <c r="K440" i="1"/>
  <c r="P440" i="1"/>
  <c r="K355" i="1"/>
  <c r="P355" i="1"/>
  <c r="K913" i="1"/>
  <c r="P913" i="1"/>
  <c r="K144" i="1"/>
  <c r="P144" i="1"/>
  <c r="K136" i="1"/>
  <c r="P136" i="1"/>
  <c r="K163" i="1"/>
  <c r="P163" i="1"/>
  <c r="K76" i="1"/>
  <c r="P76" i="1"/>
  <c r="K1046" i="1"/>
  <c r="P1046" i="1"/>
  <c r="K598" i="1"/>
  <c r="P598" i="1"/>
  <c r="K406" i="1"/>
  <c r="P406" i="1"/>
  <c r="K84" i="1"/>
  <c r="P84" i="1"/>
  <c r="K8" i="1"/>
  <c r="P8" i="1"/>
  <c r="K1081" i="1"/>
  <c r="P1081" i="1"/>
  <c r="K1031" i="1"/>
  <c r="P1031" i="1"/>
  <c r="K782" i="1"/>
  <c r="P782" i="1"/>
  <c r="K513" i="1"/>
  <c r="P513" i="1"/>
  <c r="K912" i="1"/>
  <c r="P912" i="1"/>
  <c r="K1130" i="1"/>
  <c r="P1130" i="1"/>
  <c r="K688" i="1"/>
  <c r="P688" i="1"/>
  <c r="K682" i="1"/>
  <c r="P682" i="1"/>
  <c r="K297" i="1"/>
  <c r="P297" i="1"/>
  <c r="K402" i="1"/>
  <c r="P402" i="1"/>
  <c r="K348" i="1"/>
  <c r="P348" i="1"/>
  <c r="K127" i="1"/>
  <c r="P127" i="1"/>
  <c r="K875" i="1"/>
  <c r="P875" i="1"/>
  <c r="K1052" i="1"/>
  <c r="P1052" i="1"/>
  <c r="K638" i="1"/>
  <c r="P638" i="1"/>
  <c r="K26" i="1"/>
  <c r="P26" i="1"/>
  <c r="K415" i="1"/>
  <c r="P415" i="1"/>
  <c r="K226" i="1"/>
  <c r="P226" i="1"/>
  <c r="K357" i="1"/>
  <c r="P357" i="1"/>
  <c r="K342" i="1"/>
  <c r="P342" i="1"/>
  <c r="K1104" i="1"/>
  <c r="P1104" i="1"/>
  <c r="K58" i="1"/>
  <c r="P58" i="1"/>
  <c r="K673" i="1"/>
  <c r="P673" i="1"/>
  <c r="K530" i="1"/>
  <c r="P530" i="1"/>
  <c r="K1036" i="1"/>
  <c r="P1036" i="1"/>
  <c r="K639" i="1"/>
  <c r="P639" i="1"/>
  <c r="K521" i="1"/>
  <c r="P521" i="1"/>
  <c r="K963" i="1"/>
  <c r="P963" i="1"/>
  <c r="K942" i="1"/>
  <c r="P942" i="1"/>
  <c r="K566" i="1"/>
  <c r="P566" i="1"/>
  <c r="P455" i="1"/>
  <c r="P391" i="1"/>
  <c r="P412" i="1"/>
  <c r="P308" i="1"/>
  <c r="P1122" i="1"/>
  <c r="P492" i="1"/>
  <c r="P296" i="1"/>
  <c r="P358" i="1"/>
  <c r="P164" i="1"/>
  <c r="P255" i="1"/>
  <c r="P74" i="1"/>
  <c r="P668" i="1"/>
  <c r="P646" i="1"/>
  <c r="P613" i="1"/>
  <c r="K121" i="1"/>
  <c r="P121" i="1"/>
  <c r="K501" i="1"/>
  <c r="P501" i="1"/>
  <c r="K446" i="1"/>
  <c r="P446" i="1"/>
  <c r="K88" i="1"/>
  <c r="P88" i="1"/>
  <c r="K397" i="1"/>
  <c r="P397" i="1"/>
  <c r="K1063" i="1"/>
  <c r="P1063" i="1"/>
  <c r="K594" i="1"/>
  <c r="P594" i="1"/>
  <c r="K907" i="1"/>
  <c r="P907" i="1"/>
  <c r="K703" i="1"/>
  <c r="P703" i="1"/>
  <c r="K1119" i="1"/>
  <c r="P1119" i="1"/>
  <c r="K283" i="1"/>
  <c r="P283" i="1"/>
  <c r="K157" i="1"/>
  <c r="P157" i="1"/>
  <c r="K676" i="1"/>
  <c r="P676" i="1"/>
  <c r="K835" i="1"/>
  <c r="P835" i="1"/>
  <c r="K1000" i="1"/>
  <c r="P1000" i="1"/>
  <c r="K747" i="1"/>
  <c r="P747" i="1"/>
  <c r="K510" i="1"/>
  <c r="P510" i="1"/>
  <c r="K382" i="1"/>
  <c r="P382" i="1"/>
  <c r="K19" i="1"/>
  <c r="P19" i="1"/>
  <c r="K106" i="1"/>
  <c r="P106" i="1"/>
  <c r="K192" i="1"/>
  <c r="P192" i="1"/>
  <c r="K1050" i="1"/>
  <c r="P1050" i="1"/>
  <c r="K816" i="1"/>
  <c r="P816" i="1"/>
  <c r="K770" i="1"/>
  <c r="P770" i="1"/>
  <c r="K940" i="1"/>
  <c r="P940" i="1"/>
  <c r="K473" i="1"/>
  <c r="P473" i="1"/>
  <c r="K155" i="1"/>
  <c r="P155" i="1"/>
  <c r="K623" i="1"/>
  <c r="P623" i="1"/>
  <c r="K96" i="1"/>
  <c r="P96" i="1"/>
  <c r="K505" i="1"/>
  <c r="P505" i="1"/>
  <c r="K410" i="1"/>
  <c r="P410" i="1"/>
  <c r="K470" i="1"/>
  <c r="P470" i="1"/>
  <c r="K219" i="1"/>
  <c r="P219" i="1"/>
  <c r="K267" i="1"/>
  <c r="P267" i="1"/>
  <c r="K1103" i="1"/>
  <c r="P1103" i="1"/>
  <c r="K51" i="1"/>
  <c r="P51" i="1"/>
  <c r="K1078" i="1"/>
  <c r="P1078" i="1"/>
  <c r="K847" i="1"/>
  <c r="P847" i="1"/>
  <c r="K643" i="1"/>
  <c r="P643" i="1"/>
  <c r="K753" i="1"/>
  <c r="P753" i="1"/>
  <c r="K558" i="1"/>
  <c r="P558" i="1"/>
  <c r="K900" i="1"/>
  <c r="P900" i="1"/>
  <c r="K886" i="1"/>
  <c r="P886" i="1"/>
  <c r="K294" i="1"/>
  <c r="P294" i="1"/>
  <c r="K22" i="1"/>
  <c r="P22" i="1"/>
  <c r="K259" i="1"/>
  <c r="P259" i="1"/>
  <c r="K102" i="1"/>
  <c r="P102" i="1"/>
  <c r="K869" i="1"/>
  <c r="P869" i="1"/>
  <c r="K854" i="1"/>
  <c r="P854" i="1"/>
  <c r="K648" i="1"/>
  <c r="P648" i="1"/>
  <c r="K1006" i="1"/>
  <c r="P1006" i="1"/>
  <c r="K778" i="1"/>
  <c r="P778" i="1"/>
  <c r="K611" i="1"/>
  <c r="P611" i="1"/>
  <c r="P16" i="1"/>
  <c r="P390" i="1"/>
  <c r="P309" i="1"/>
  <c r="P697" i="1"/>
  <c r="P889" i="1"/>
  <c r="P462" i="1"/>
  <c r="P372" i="1"/>
  <c r="P172" i="1"/>
  <c r="P25" i="1"/>
  <c r="P329" i="1"/>
  <c r="P4" i="1"/>
  <c r="P1056" i="1"/>
  <c r="P813" i="1"/>
  <c r="P775" i="1"/>
  <c r="K313" i="1"/>
  <c r="P313" i="1"/>
  <c r="K1042" i="1"/>
  <c r="P1042" i="1"/>
  <c r="K524" i="1"/>
  <c r="P524" i="1"/>
  <c r="P257" i="1"/>
  <c r="K244" i="1"/>
  <c r="P244" i="1"/>
  <c r="K694" i="1"/>
  <c r="P694" i="1"/>
  <c r="K683" i="1"/>
  <c r="P683" i="1"/>
  <c r="K168" i="1"/>
  <c r="P168" i="1"/>
  <c r="K17" i="1"/>
  <c r="P17" i="1"/>
  <c r="K458" i="1"/>
  <c r="P458" i="1"/>
  <c r="K1032" i="1"/>
  <c r="P1032" i="1"/>
  <c r="K735" i="1"/>
  <c r="P735" i="1"/>
  <c r="K477" i="1"/>
  <c r="P477" i="1"/>
  <c r="K380" i="1"/>
  <c r="P380" i="1"/>
  <c r="K1113" i="1"/>
  <c r="P1113" i="1"/>
  <c r="K269" i="1"/>
  <c r="P269" i="1"/>
  <c r="K321" i="1"/>
  <c r="P321" i="1"/>
  <c r="K867" i="1"/>
  <c r="P867" i="1"/>
  <c r="K656" i="1"/>
  <c r="P656" i="1"/>
  <c r="K1013" i="1"/>
  <c r="P1013" i="1"/>
  <c r="K788" i="1"/>
  <c r="P788" i="1"/>
  <c r="K981" i="1"/>
  <c r="P981" i="1"/>
  <c r="K590" i="1"/>
  <c r="P590" i="1"/>
  <c r="K721" i="1"/>
  <c r="P721" i="1"/>
  <c r="K234" i="1"/>
  <c r="P234" i="1"/>
  <c r="K536" i="1"/>
  <c r="P536" i="1"/>
  <c r="K490" i="1"/>
  <c r="P490" i="1"/>
  <c r="K274" i="1"/>
  <c r="P274" i="1"/>
  <c r="K160" i="1"/>
  <c r="P160" i="1"/>
  <c r="K396" i="1"/>
  <c r="P396" i="1"/>
  <c r="K3" i="1"/>
  <c r="P3" i="1"/>
  <c r="K866" i="1"/>
  <c r="P866" i="1"/>
  <c r="K848" i="1"/>
  <c r="P848" i="1"/>
  <c r="K1030" i="1"/>
  <c r="P1030" i="1"/>
  <c r="K1007" i="1"/>
  <c r="P1007" i="1"/>
  <c r="K12" i="1"/>
  <c r="P12" i="1"/>
  <c r="K242" i="1"/>
  <c r="P242" i="1"/>
  <c r="K478" i="1"/>
  <c r="P478" i="1"/>
  <c r="K893" i="1"/>
  <c r="P893" i="1"/>
  <c r="K424" i="1"/>
  <c r="P424" i="1"/>
  <c r="K1112" i="1"/>
  <c r="P1112" i="1"/>
  <c r="K271" i="1"/>
  <c r="P271" i="1"/>
  <c r="K34" i="1"/>
  <c r="P34" i="1"/>
  <c r="K61" i="1"/>
  <c r="P61" i="1"/>
  <c r="K319" i="1"/>
  <c r="P319" i="1"/>
  <c r="K1089" i="1"/>
  <c r="P1089" i="1"/>
  <c r="K833" i="1"/>
  <c r="P833" i="1"/>
  <c r="K645" i="1"/>
  <c r="P645" i="1"/>
  <c r="K806" i="1"/>
  <c r="P806" i="1"/>
  <c r="K797" i="1"/>
  <c r="P797" i="1"/>
  <c r="K519" i="1"/>
  <c r="P519" i="1"/>
  <c r="K609" i="1"/>
  <c r="P609" i="1"/>
  <c r="K758" i="1"/>
  <c r="P758" i="1"/>
  <c r="K954" i="1"/>
  <c r="P954" i="1"/>
  <c r="K928" i="1"/>
  <c r="P928" i="1"/>
  <c r="K909" i="1"/>
  <c r="P909" i="1"/>
  <c r="K150" i="1"/>
  <c r="P150" i="1"/>
  <c r="K416" i="1"/>
  <c r="P416" i="1"/>
  <c r="K36" i="1"/>
  <c r="P36" i="1"/>
  <c r="K896" i="1"/>
  <c r="P896" i="1"/>
  <c r="K691" i="1"/>
  <c r="P691" i="1"/>
  <c r="K461" i="1"/>
  <c r="P461" i="1"/>
  <c r="K878" i="1"/>
  <c r="P878" i="1"/>
  <c r="K176" i="1"/>
  <c r="P176" i="1"/>
  <c r="K285" i="1"/>
  <c r="P285" i="1"/>
  <c r="K170" i="1"/>
  <c r="P170" i="1"/>
  <c r="K81" i="1"/>
  <c r="P81" i="1"/>
  <c r="K328" i="1"/>
  <c r="P328" i="1"/>
  <c r="K662" i="1"/>
  <c r="P662" i="1"/>
  <c r="K841" i="1"/>
  <c r="P841" i="1"/>
  <c r="K814" i="1"/>
  <c r="P814" i="1"/>
  <c r="K1004" i="1"/>
  <c r="P1004" i="1"/>
  <c r="K454" i="1"/>
  <c r="P454" i="1"/>
  <c r="K314" i="1"/>
  <c r="P314" i="1"/>
  <c r="K44" i="1"/>
  <c r="P44" i="1"/>
  <c r="K553" i="1"/>
  <c r="P553" i="1"/>
  <c r="K384" i="1"/>
  <c r="P384" i="1"/>
  <c r="K1123" i="1"/>
  <c r="P1123" i="1"/>
  <c r="K466" i="1"/>
  <c r="P466" i="1"/>
  <c r="K879" i="1"/>
  <c r="P879" i="1"/>
  <c r="K89" i="1"/>
  <c r="P89" i="1"/>
  <c r="K290" i="1"/>
  <c r="P290" i="1"/>
  <c r="K359" i="1"/>
  <c r="P359" i="1"/>
  <c r="K401" i="1"/>
  <c r="P401" i="1"/>
  <c r="K213" i="1"/>
  <c r="P213" i="1"/>
  <c r="K132" i="1"/>
  <c r="P132" i="1"/>
  <c r="K265" i="1"/>
  <c r="P265" i="1"/>
  <c r="K80" i="1"/>
  <c r="P80" i="1"/>
  <c r="K33" i="1"/>
  <c r="P33" i="1"/>
  <c r="K67" i="1"/>
  <c r="P67" i="1"/>
  <c r="K104" i="1"/>
  <c r="P104" i="1"/>
  <c r="K327" i="1"/>
  <c r="P327" i="1"/>
  <c r="K153" i="1"/>
  <c r="P153" i="1"/>
  <c r="K41" i="1"/>
  <c r="P41" i="1"/>
  <c r="K679" i="1"/>
  <c r="P679" i="1"/>
  <c r="K873" i="1"/>
  <c r="P873" i="1"/>
  <c r="K1088" i="1"/>
  <c r="P1088" i="1"/>
  <c r="K672" i="1"/>
  <c r="P672" i="1"/>
  <c r="K669" i="1"/>
  <c r="P669" i="1"/>
  <c r="K1067" i="1"/>
  <c r="P1067" i="1"/>
  <c r="K666" i="1"/>
  <c r="P666" i="1"/>
  <c r="P98" i="1"/>
  <c r="P388" i="1"/>
  <c r="P476" i="1"/>
  <c r="P1129" i="1"/>
  <c r="P468" i="1"/>
  <c r="P422" i="1"/>
  <c r="P366" i="1"/>
  <c r="P277" i="1"/>
  <c r="P343" i="1"/>
  <c r="P10" i="1"/>
  <c r="P874" i="1"/>
  <c r="P855" i="1"/>
  <c r="P1017" i="1"/>
  <c r="P586" i="1"/>
  <c r="K57" i="1"/>
  <c r="P57" i="1"/>
  <c r="K702" i="1"/>
  <c r="P702" i="1"/>
  <c r="K465" i="1"/>
  <c r="P465" i="1"/>
  <c r="K250" i="1"/>
  <c r="P250" i="1"/>
  <c r="K1051" i="1"/>
  <c r="P1051" i="1"/>
  <c r="K804" i="1"/>
  <c r="P804" i="1"/>
  <c r="K965" i="1"/>
  <c r="P965" i="1"/>
  <c r="K901" i="1"/>
  <c r="P901" i="1"/>
  <c r="K686" i="1"/>
  <c r="P686" i="1"/>
  <c r="K29" i="1"/>
  <c r="P29" i="1"/>
  <c r="K330" i="1"/>
  <c r="P330" i="1"/>
  <c r="K631" i="1"/>
  <c r="P631" i="1"/>
  <c r="K936" i="1"/>
  <c r="P936" i="1"/>
  <c r="K898" i="1"/>
  <c r="P898" i="1"/>
  <c r="K892" i="1"/>
  <c r="P892" i="1"/>
  <c r="K15" i="1"/>
  <c r="P15" i="1"/>
  <c r="K109" i="1"/>
  <c r="P109" i="1"/>
  <c r="K71" i="1"/>
  <c r="P71" i="1"/>
  <c r="K129" i="1"/>
  <c r="P129" i="1"/>
  <c r="K60" i="1"/>
  <c r="P60" i="1"/>
  <c r="K1097" i="1"/>
  <c r="P1097" i="1"/>
  <c r="K1045" i="1"/>
  <c r="P1045" i="1"/>
  <c r="K630" i="1"/>
  <c r="P630" i="1"/>
  <c r="K961" i="1"/>
  <c r="P961" i="1"/>
  <c r="K717" i="1"/>
  <c r="P717" i="1"/>
  <c r="K502" i="1"/>
  <c r="P502" i="1"/>
  <c r="K1125" i="1"/>
  <c r="P1125" i="1"/>
  <c r="K1114" i="1"/>
  <c r="P1114" i="1"/>
  <c r="K371" i="1"/>
  <c r="P371" i="1"/>
  <c r="K204" i="1"/>
  <c r="P204" i="1"/>
  <c r="K675" i="1"/>
  <c r="P675" i="1"/>
  <c r="K654" i="1"/>
  <c r="P654" i="1"/>
  <c r="K798" i="1"/>
  <c r="P798" i="1"/>
  <c r="K708" i="1"/>
  <c r="P708" i="1"/>
  <c r="K1141" i="1"/>
  <c r="P1141" i="1"/>
  <c r="K506" i="1"/>
  <c r="P506" i="1"/>
  <c r="K543" i="1"/>
  <c r="P543" i="1"/>
  <c r="K114" i="1"/>
  <c r="P114" i="1"/>
  <c r="K24" i="1"/>
  <c r="P24" i="1"/>
  <c r="K111" i="1"/>
  <c r="P111" i="1"/>
  <c r="K286" i="1"/>
  <c r="P286" i="1"/>
  <c r="K85" i="1"/>
  <c r="P85" i="1"/>
  <c r="K53" i="1"/>
  <c r="P53" i="1"/>
  <c r="K31" i="1"/>
  <c r="P31" i="1"/>
  <c r="K1069" i="1"/>
  <c r="P1069" i="1"/>
  <c r="K851" i="1"/>
  <c r="P851" i="1"/>
  <c r="K827" i="1"/>
  <c r="P827" i="1"/>
  <c r="K803" i="1"/>
  <c r="P803" i="1"/>
  <c r="K618" i="1"/>
  <c r="P618" i="1"/>
  <c r="K605" i="1"/>
  <c r="P605" i="1"/>
  <c r="K948" i="1"/>
  <c r="P948" i="1"/>
  <c r="K574" i="1"/>
  <c r="P574" i="1"/>
  <c r="K736" i="1"/>
  <c r="K1142" i="1"/>
  <c r="P1142" i="1"/>
  <c r="K392" i="1"/>
  <c r="P392" i="1"/>
  <c r="K704" i="1"/>
  <c r="P704" i="1"/>
  <c r="K545" i="1"/>
  <c r="P545" i="1"/>
  <c r="K469" i="1"/>
  <c r="P469" i="1"/>
  <c r="K880" i="1"/>
  <c r="P880" i="1"/>
  <c r="K1110" i="1"/>
  <c r="P1110" i="1"/>
  <c r="K90" i="1"/>
  <c r="P90" i="1"/>
  <c r="K87" i="1"/>
  <c r="P87" i="1"/>
  <c r="K171" i="1"/>
  <c r="P171" i="1"/>
  <c r="K270" i="1"/>
  <c r="P270" i="1"/>
  <c r="K1068" i="1"/>
  <c r="P1068" i="1"/>
  <c r="K996" i="1"/>
  <c r="P996" i="1"/>
  <c r="K436" i="1"/>
  <c r="P436" i="1"/>
  <c r="K20" i="1"/>
  <c r="P20" i="1"/>
  <c r="K311" i="1"/>
  <c r="P311" i="1"/>
  <c r="K1139" i="1"/>
  <c r="P1139" i="1"/>
  <c r="K408" i="1"/>
  <c r="P408" i="1"/>
  <c r="K93" i="1"/>
  <c r="P93" i="1"/>
  <c r="K534" i="1"/>
  <c r="P534" i="1"/>
  <c r="K140" i="1"/>
  <c r="P140" i="1"/>
  <c r="K122" i="1"/>
  <c r="P122" i="1"/>
  <c r="K509" i="1"/>
  <c r="P509" i="1"/>
  <c r="K453" i="1"/>
  <c r="P453" i="1"/>
  <c r="K508" i="1"/>
  <c r="P508" i="1"/>
  <c r="K393" i="1"/>
  <c r="P393" i="1"/>
  <c r="K184" i="1"/>
  <c r="P184" i="1"/>
  <c r="K241" i="1"/>
  <c r="P241" i="1"/>
  <c r="K310" i="1"/>
  <c r="P310" i="1"/>
  <c r="K479" i="1"/>
  <c r="P479" i="1"/>
  <c r="K431" i="1"/>
  <c r="P431" i="1"/>
  <c r="K504" i="1"/>
  <c r="P504" i="1"/>
  <c r="K237" i="1"/>
  <c r="P237" i="1"/>
  <c r="K450" i="1"/>
  <c r="P450" i="1"/>
  <c r="K549" i="1"/>
  <c r="P549" i="1"/>
  <c r="K407" i="1"/>
  <c r="P407" i="1"/>
  <c r="K1128" i="1"/>
  <c r="P1128" i="1"/>
  <c r="K1127" i="1"/>
  <c r="P1127" i="1"/>
  <c r="K426" i="1"/>
  <c r="P426" i="1"/>
  <c r="K495" i="1"/>
  <c r="P495" i="1"/>
  <c r="K306" i="1"/>
  <c r="P306" i="1"/>
  <c r="K687" i="1"/>
  <c r="P687" i="1"/>
  <c r="K43" i="1"/>
  <c r="P43" i="1"/>
  <c r="K1117" i="1"/>
  <c r="P1117" i="1"/>
  <c r="K5" i="1"/>
  <c r="P5" i="1"/>
  <c r="K443" i="1"/>
  <c r="P443" i="1"/>
  <c r="K489" i="1"/>
  <c r="P489" i="1"/>
  <c r="K379" i="1"/>
  <c r="P379" i="1"/>
  <c r="K178" i="1"/>
  <c r="P178" i="1"/>
  <c r="K373" i="1"/>
  <c r="P373" i="1"/>
  <c r="K370" i="1"/>
  <c r="P370" i="1"/>
  <c r="K364" i="1"/>
  <c r="P364" i="1"/>
  <c r="K287" i="1"/>
  <c r="P287" i="1"/>
  <c r="K361" i="1"/>
  <c r="P361" i="1"/>
  <c r="K281" i="1"/>
  <c r="P281" i="1"/>
  <c r="K280" i="1"/>
  <c r="P280" i="1"/>
  <c r="K276" i="1"/>
  <c r="P276" i="1"/>
  <c r="K273" i="1"/>
  <c r="P273" i="1"/>
  <c r="K212" i="1"/>
  <c r="P212" i="1"/>
  <c r="K166" i="1"/>
  <c r="P166" i="1"/>
  <c r="K70" i="1"/>
  <c r="P70" i="1"/>
  <c r="K264" i="1"/>
  <c r="P264" i="1"/>
  <c r="K202" i="1"/>
  <c r="P202" i="1"/>
  <c r="P481" i="1"/>
  <c r="P387" i="1"/>
  <c r="P118" i="1"/>
  <c r="P498" i="1"/>
  <c r="P115" i="1"/>
  <c r="P442" i="1"/>
  <c r="P293" i="1"/>
  <c r="P1109" i="1"/>
  <c r="P263" i="1"/>
  <c r="P32" i="1"/>
  <c r="P1095" i="1"/>
  <c r="P1048" i="1"/>
  <c r="P637" i="1"/>
  <c r="P763" i="1"/>
  <c r="P580" i="1"/>
  <c r="K474" i="1"/>
  <c r="P474" i="1"/>
  <c r="K340" i="1"/>
  <c r="P340" i="1"/>
  <c r="K868" i="1"/>
  <c r="P868" i="1"/>
  <c r="K1037" i="1"/>
  <c r="P1037" i="1"/>
  <c r="K624" i="1"/>
  <c r="P624" i="1"/>
  <c r="K591" i="1"/>
  <c r="P591" i="1"/>
  <c r="K1143" i="1"/>
  <c r="P1143" i="1"/>
  <c r="K547" i="1"/>
  <c r="P547" i="1"/>
  <c r="K91" i="1"/>
  <c r="P91" i="1"/>
  <c r="K54" i="1"/>
  <c r="P54" i="1"/>
  <c r="K13" i="1"/>
  <c r="P13" i="1"/>
  <c r="K486" i="1"/>
  <c r="P486" i="1"/>
  <c r="K807" i="1"/>
  <c r="P807" i="1"/>
  <c r="K578" i="1"/>
  <c r="P578" i="1"/>
  <c r="K428" i="1"/>
  <c r="P428" i="1"/>
  <c r="K92" i="1"/>
  <c r="P92" i="1"/>
  <c r="K363" i="1"/>
  <c r="P363" i="1"/>
  <c r="K349" i="1"/>
  <c r="P349" i="1"/>
  <c r="K125" i="1"/>
  <c r="P125" i="1"/>
  <c r="K27" i="1"/>
  <c r="P27" i="1"/>
  <c r="K1072" i="1"/>
  <c r="P1072" i="1"/>
  <c r="K657" i="1"/>
  <c r="P657" i="1"/>
  <c r="K640" i="1"/>
  <c r="P640" i="1"/>
  <c r="K791" i="1"/>
  <c r="P791" i="1"/>
  <c r="K457" i="1"/>
  <c r="P457" i="1"/>
  <c r="K515" i="1"/>
  <c r="P515" i="1"/>
  <c r="K577" i="1"/>
  <c r="P577" i="1"/>
  <c r="K425" i="1"/>
  <c r="P425" i="1"/>
  <c r="K1044" i="1"/>
  <c r="P1044" i="1"/>
  <c r="K649" i="1"/>
  <c r="P649" i="1"/>
  <c r="K520" i="1"/>
  <c r="P520" i="1"/>
  <c r="K315" i="1"/>
  <c r="P315" i="1"/>
  <c r="K692" i="1"/>
  <c r="P692" i="1"/>
  <c r="K467" i="1"/>
  <c r="P467" i="1"/>
  <c r="K1111" i="1"/>
  <c r="P1111" i="1"/>
  <c r="K291" i="1"/>
  <c r="P291" i="1"/>
  <c r="K48" i="1"/>
  <c r="P48" i="1"/>
  <c r="K52" i="1"/>
  <c r="P52" i="1"/>
  <c r="K324" i="1"/>
  <c r="P324" i="1"/>
  <c r="K680" i="1"/>
  <c r="P680" i="1"/>
  <c r="K862" i="1"/>
  <c r="P862" i="1"/>
  <c r="K984" i="1"/>
  <c r="P984" i="1"/>
  <c r="K437" i="1"/>
  <c r="P437" i="1"/>
  <c r="K919" i="1"/>
  <c r="P919" i="1"/>
  <c r="K97" i="1"/>
  <c r="P97" i="1"/>
  <c r="K181" i="1"/>
  <c r="P181" i="1"/>
  <c r="K555" i="1"/>
  <c r="P555" i="1"/>
  <c r="K411" i="1"/>
  <c r="P411" i="1"/>
  <c r="K891" i="1"/>
  <c r="P891" i="1"/>
  <c r="K233" i="1"/>
  <c r="P233" i="1"/>
  <c r="K230" i="1"/>
  <c r="P230" i="1"/>
  <c r="K108" i="1"/>
  <c r="P108" i="1"/>
  <c r="K1107" i="1"/>
  <c r="P1107" i="1"/>
  <c r="K338" i="1"/>
  <c r="P338" i="1"/>
  <c r="K256" i="1"/>
  <c r="P256" i="1"/>
  <c r="K323" i="1"/>
  <c r="P323" i="1"/>
  <c r="K189" i="1"/>
  <c r="P189" i="1"/>
  <c r="K877" i="1"/>
  <c r="P877" i="1"/>
  <c r="K1077" i="1"/>
  <c r="P1077" i="1"/>
  <c r="K860" i="1"/>
  <c r="P860" i="1"/>
  <c r="K1040" i="1"/>
  <c r="P1040" i="1"/>
  <c r="K653" i="1"/>
  <c r="P653" i="1"/>
  <c r="K1023" i="1"/>
  <c r="P1023" i="1"/>
  <c r="K811" i="1"/>
  <c r="P811" i="1"/>
  <c r="K796" i="1"/>
  <c r="P796" i="1"/>
  <c r="K786" i="1"/>
  <c r="P786" i="1"/>
  <c r="K560" i="1"/>
  <c r="P560" i="1"/>
  <c r="K187" i="1"/>
  <c r="P187" i="1"/>
  <c r="K432" i="1"/>
  <c r="P432" i="1"/>
  <c r="K1135" i="1"/>
  <c r="P1135" i="1"/>
  <c r="K39" i="1"/>
  <c r="P39" i="1"/>
  <c r="K883" i="1"/>
  <c r="P883" i="1"/>
  <c r="K1144" i="1"/>
  <c r="P1144" i="1"/>
  <c r="K394" i="1"/>
  <c r="P394" i="1"/>
  <c r="K903" i="1"/>
  <c r="P903" i="1"/>
  <c r="K188" i="1"/>
  <c r="P188" i="1"/>
  <c r="K245" i="1"/>
  <c r="P245" i="1"/>
  <c r="K183" i="1"/>
  <c r="P183" i="1"/>
  <c r="K240" i="1"/>
  <c r="P240" i="1"/>
  <c r="K143" i="1"/>
  <c r="P143" i="1"/>
  <c r="K451" i="1"/>
  <c r="P451" i="1"/>
  <c r="K119" i="1"/>
  <c r="P119" i="1"/>
  <c r="K1136" i="1"/>
  <c r="P1136" i="1"/>
  <c r="K1134" i="1"/>
  <c r="P1134" i="1"/>
  <c r="K699" i="1"/>
  <c r="P699" i="1"/>
  <c r="K894" i="1"/>
  <c r="P894" i="1"/>
  <c r="K497" i="1"/>
  <c r="P497" i="1"/>
  <c r="K689" i="1"/>
  <c r="P689" i="1"/>
  <c r="K423" i="1"/>
  <c r="P423" i="1"/>
  <c r="K494" i="1"/>
  <c r="P494" i="1"/>
  <c r="K882" i="1"/>
  <c r="P882" i="1"/>
  <c r="K1116" i="1"/>
  <c r="P1116" i="1"/>
  <c r="K30" i="1"/>
  <c r="P30" i="1"/>
  <c r="K113" i="1"/>
  <c r="P113" i="1"/>
  <c r="K681" i="1"/>
  <c r="P681" i="1"/>
  <c r="K378" i="1"/>
  <c r="P378" i="1"/>
  <c r="K299" i="1"/>
  <c r="P299" i="1"/>
  <c r="K110" i="1"/>
  <c r="P110" i="1"/>
  <c r="K369" i="1"/>
  <c r="P369" i="1"/>
  <c r="K289" i="1"/>
  <c r="P289" i="1"/>
  <c r="K225" i="1"/>
  <c r="P225" i="1"/>
  <c r="K222" i="1"/>
  <c r="P222" i="1"/>
  <c r="K218" i="1"/>
  <c r="P218" i="1"/>
  <c r="K279" i="1"/>
  <c r="P279" i="1"/>
  <c r="K169" i="1"/>
  <c r="P169" i="1"/>
  <c r="K107" i="1"/>
  <c r="P107" i="1"/>
  <c r="K350" i="1"/>
  <c r="P350" i="1"/>
  <c r="K266" i="1"/>
  <c r="P266" i="1"/>
  <c r="K49" i="1"/>
  <c r="P49" i="1"/>
  <c r="K419" i="1"/>
  <c r="P419" i="1"/>
  <c r="K262" i="1"/>
  <c r="P262" i="1"/>
  <c r="K161" i="1"/>
  <c r="P161" i="1"/>
  <c r="K159" i="1"/>
  <c r="P159" i="1"/>
  <c r="P147" i="1"/>
  <c r="P180" i="1"/>
  <c r="P430" i="1"/>
  <c r="P472" i="1"/>
  <c r="P887" i="1"/>
  <c r="P421" i="1"/>
  <c r="P292" i="1"/>
  <c r="P86" i="1"/>
  <c r="P341" i="1"/>
  <c r="P7" i="1"/>
  <c r="P1092" i="1"/>
  <c r="P606" i="1"/>
  <c r="K28" i="1"/>
  <c r="P28" i="1"/>
  <c r="K381" i="1"/>
  <c r="P381" i="1"/>
  <c r="K368" i="1"/>
  <c r="P368" i="1"/>
  <c r="K1082" i="1"/>
  <c r="P1082" i="1"/>
  <c r="K824" i="1"/>
  <c r="P824" i="1"/>
  <c r="K766" i="1"/>
  <c r="P766" i="1"/>
  <c r="K581" i="1"/>
  <c r="P581" i="1"/>
  <c r="K148" i="1"/>
  <c r="P148" i="1"/>
  <c r="K695" i="1"/>
  <c r="P695" i="1"/>
  <c r="K367" i="1"/>
  <c r="P367" i="1"/>
  <c r="K21" i="1"/>
  <c r="P21" i="1"/>
  <c r="K1102" i="1"/>
  <c r="P1102" i="1"/>
  <c r="K1027" i="1"/>
  <c r="P1027" i="1"/>
  <c r="K982" i="1"/>
  <c r="P982" i="1"/>
  <c r="K149" i="1"/>
  <c r="P149" i="1"/>
  <c r="K483" i="1"/>
  <c r="P483" i="1"/>
  <c r="K417" i="1"/>
  <c r="P417" i="1"/>
  <c r="K557" i="1"/>
  <c r="P557" i="1"/>
  <c r="K95" i="1"/>
  <c r="P95" i="1"/>
  <c r="K182" i="1"/>
  <c r="P182" i="1"/>
  <c r="K389" i="1"/>
  <c r="P389" i="1"/>
  <c r="K238" i="1"/>
  <c r="P238" i="1"/>
  <c r="K554" i="1"/>
  <c r="P554" i="1"/>
  <c r="K413" i="1"/>
  <c r="P413" i="1"/>
  <c r="K503" i="1"/>
  <c r="P503" i="1"/>
  <c r="K117" i="1"/>
  <c r="P117" i="1"/>
  <c r="K475" i="1"/>
  <c r="P475" i="1"/>
  <c r="K548" i="1"/>
  <c r="P548" i="1"/>
  <c r="K65" i="1"/>
  <c r="P65" i="1"/>
  <c r="K427" i="1"/>
  <c r="P427" i="1"/>
  <c r="K888" i="1"/>
  <c r="P888" i="1"/>
  <c r="K1121" i="1"/>
  <c r="P1121" i="1"/>
  <c r="K1120" i="1"/>
  <c r="P1120" i="1"/>
  <c r="K56" i="1"/>
  <c r="P56" i="1"/>
  <c r="K463" i="1"/>
  <c r="P463" i="1"/>
  <c r="K441" i="1"/>
  <c r="P441" i="1"/>
  <c r="K377" i="1"/>
  <c r="P377" i="1"/>
  <c r="K231" i="1"/>
  <c r="P231" i="1"/>
  <c r="K229" i="1"/>
  <c r="P229" i="1"/>
  <c r="K404" i="1"/>
  <c r="P404" i="1"/>
  <c r="K138" i="1"/>
  <c r="P138" i="1"/>
  <c r="K224" i="1"/>
  <c r="P224" i="1"/>
  <c r="K221" i="1"/>
  <c r="P221" i="1"/>
  <c r="K217" i="1"/>
  <c r="P217" i="1"/>
  <c r="K356" i="1"/>
  <c r="P356" i="1"/>
  <c r="K63" i="1"/>
  <c r="P63" i="1"/>
  <c r="K133" i="1"/>
  <c r="P133" i="1"/>
  <c r="K211" i="1"/>
  <c r="P211" i="1"/>
  <c r="K131" i="1"/>
  <c r="P131" i="1"/>
  <c r="K206" i="1"/>
  <c r="P206" i="1"/>
  <c r="K203" i="1"/>
  <c r="P203" i="1"/>
  <c r="K261" i="1"/>
  <c r="P261" i="1"/>
  <c r="K258" i="1"/>
  <c r="P258" i="1"/>
  <c r="K1106" i="1"/>
  <c r="P1106" i="1"/>
  <c r="K335" i="1"/>
  <c r="P335" i="1"/>
  <c r="K197" i="1"/>
  <c r="P197" i="1"/>
  <c r="K196" i="1"/>
  <c r="P196" i="1"/>
  <c r="K326" i="1"/>
  <c r="P326" i="1"/>
  <c r="K322" i="1"/>
  <c r="P322" i="1"/>
  <c r="K251" i="1"/>
  <c r="P251" i="1"/>
  <c r="K46" i="1"/>
  <c r="P46" i="1"/>
  <c r="K37" i="1"/>
  <c r="P37" i="1"/>
  <c r="K1098" i="1"/>
  <c r="P1098" i="1"/>
  <c r="K1093" i="1"/>
  <c r="P1093" i="1"/>
  <c r="K674" i="1"/>
  <c r="P674" i="1"/>
  <c r="K670" i="1"/>
  <c r="P670" i="1"/>
  <c r="K1074" i="1"/>
  <c r="P1074" i="1"/>
  <c r="K1064" i="1"/>
  <c r="P1064" i="1"/>
  <c r="K861" i="1"/>
  <c r="P861" i="1"/>
  <c r="K857" i="1"/>
  <c r="P857" i="1"/>
  <c r="K664" i="1"/>
  <c r="P664" i="1"/>
  <c r="K849" i="1"/>
  <c r="P849" i="1"/>
  <c r="K1038" i="1"/>
  <c r="P1038" i="1"/>
  <c r="K837" i="1"/>
  <c r="P837" i="1"/>
  <c r="K1034" i="1"/>
  <c r="P1034" i="1"/>
  <c r="K1028" i="1"/>
  <c r="P1028" i="1"/>
  <c r="K825" i="1"/>
  <c r="P825" i="1"/>
  <c r="K818" i="1"/>
  <c r="P818" i="1"/>
  <c r="K641" i="1"/>
  <c r="P641" i="1"/>
  <c r="K1014" i="1"/>
  <c r="P1014" i="1"/>
  <c r="K1009" i="1"/>
  <c r="P1009" i="1"/>
  <c r="K632" i="1"/>
  <c r="P632" i="1"/>
  <c r="K1002" i="1"/>
  <c r="P1002" i="1"/>
  <c r="K792" i="1"/>
  <c r="P792" i="1"/>
  <c r="K994" i="1"/>
  <c r="P994" i="1"/>
  <c r="K784" i="1"/>
  <c r="P784" i="1"/>
  <c r="K989" i="1"/>
  <c r="P989" i="1"/>
  <c r="K773" i="1"/>
  <c r="P773" i="1"/>
  <c r="K516" i="1"/>
  <c r="P516" i="1"/>
  <c r="K760" i="1"/>
  <c r="P760" i="1"/>
  <c r="K607" i="1"/>
  <c r="P607" i="1"/>
  <c r="K602" i="1"/>
  <c r="P602" i="1"/>
  <c r="K751" i="1"/>
  <c r="P751" i="1"/>
  <c r="K514" i="1"/>
  <c r="P514" i="1"/>
  <c r="K748" i="1"/>
  <c r="P748" i="1"/>
  <c r="K950" i="1"/>
  <c r="P950" i="1"/>
  <c r="K947" i="1"/>
  <c r="P947" i="1"/>
  <c r="K438" i="1"/>
  <c r="P438" i="1"/>
  <c r="K937" i="1"/>
  <c r="P937" i="1"/>
  <c r="K931" i="1"/>
  <c r="P931" i="1"/>
  <c r="K925" i="1"/>
  <c r="P925" i="1"/>
  <c r="K722" i="1"/>
  <c r="P722" i="1"/>
  <c r="K918" i="1"/>
  <c r="P918" i="1"/>
  <c r="K714" i="1"/>
  <c r="P714" i="1"/>
  <c r="K710" i="1"/>
  <c r="P710" i="1"/>
  <c r="P246" i="1"/>
  <c r="P902" i="1"/>
  <c r="P700" i="1"/>
  <c r="P544" i="1"/>
  <c r="P884" i="1"/>
  <c r="P533" i="1"/>
  <c r="P55" i="1"/>
  <c r="P38" i="1"/>
  <c r="P339" i="1"/>
  <c r="P14" i="1"/>
  <c r="P1085" i="1"/>
  <c r="P1041" i="1"/>
  <c r="P800" i="1"/>
  <c r="P976" i="1"/>
  <c r="P1029" i="1"/>
  <c r="P986" i="1"/>
  <c r="P974" i="1"/>
  <c r="P750" i="1"/>
  <c r="P729" i="1"/>
  <c r="P567" i="1"/>
  <c r="P781" i="1"/>
  <c r="P762" i="1"/>
  <c r="P584" i="1"/>
  <c r="P724" i="1"/>
  <c r="P820" i="1"/>
  <c r="P983" i="1"/>
  <c r="P456" i="1"/>
  <c r="P740" i="1"/>
  <c r="P723" i="1"/>
  <c r="P906" i="1"/>
  <c r="P1039" i="1"/>
  <c r="P622" i="1"/>
  <c r="P612" i="1"/>
  <c r="P604" i="1"/>
  <c r="P739" i="1"/>
  <c r="P930" i="1"/>
  <c r="P716" i="1"/>
  <c r="P810" i="1"/>
  <c r="P603" i="1"/>
  <c r="P955" i="1"/>
  <c r="P732" i="1"/>
  <c r="P715" i="1"/>
  <c r="P832" i="1"/>
  <c r="P617" i="1"/>
  <c r="P980" i="1"/>
  <c r="P962" i="1"/>
  <c r="P939" i="1"/>
  <c r="P720" i="1"/>
  <c r="P633" i="1"/>
  <c r="P787" i="1"/>
  <c r="P596" i="1"/>
  <c r="P945" i="1"/>
  <c r="P927" i="1"/>
  <c r="P826" i="1"/>
  <c r="P768" i="1"/>
  <c r="P969" i="1"/>
  <c r="P953" i="1"/>
  <c r="P926" i="1"/>
  <c r="P565" i="1"/>
  <c r="K105" i="1"/>
  <c r="P105" i="1"/>
  <c r="K337" i="1"/>
  <c r="P337" i="1"/>
  <c r="K1105" i="1"/>
  <c r="P1105" i="1"/>
  <c r="K156" i="1"/>
  <c r="P156" i="1"/>
  <c r="K59" i="1"/>
  <c r="P59" i="1"/>
  <c r="K253" i="1"/>
  <c r="P253" i="1"/>
  <c r="K47" i="1"/>
  <c r="P47" i="1"/>
  <c r="K193" i="1"/>
  <c r="P193" i="1"/>
  <c r="K190" i="1"/>
  <c r="P190" i="1"/>
  <c r="K9" i="1"/>
  <c r="P9" i="1"/>
  <c r="K678" i="1"/>
  <c r="P678" i="1"/>
  <c r="K1094" i="1"/>
  <c r="P1094" i="1"/>
  <c r="K1087" i="1"/>
  <c r="P1087" i="1"/>
  <c r="K531" i="1"/>
  <c r="P531" i="1"/>
  <c r="K1076" i="1"/>
  <c r="P1076" i="1"/>
  <c r="K1066" i="1"/>
  <c r="P1066" i="1"/>
  <c r="K667" i="1"/>
  <c r="P667" i="1"/>
  <c r="K859" i="1"/>
  <c r="P859" i="1"/>
  <c r="K853" i="1"/>
  <c r="P853" i="1"/>
  <c r="K850" i="1"/>
  <c r="P850" i="1"/>
  <c r="K846" i="1"/>
  <c r="P846" i="1"/>
  <c r="K839" i="1"/>
  <c r="P839" i="1"/>
  <c r="K831" i="1"/>
  <c r="P831" i="1"/>
  <c r="K829" i="1"/>
  <c r="P829" i="1"/>
  <c r="K647" i="1"/>
  <c r="P647" i="1"/>
  <c r="K1022" i="1"/>
  <c r="P1022" i="1"/>
  <c r="K1019" i="1"/>
  <c r="P1019" i="1"/>
  <c r="K809" i="1"/>
  <c r="P809" i="1"/>
  <c r="K805" i="1"/>
  <c r="P805" i="1"/>
  <c r="K522" i="1"/>
  <c r="P522" i="1"/>
  <c r="K799" i="1"/>
  <c r="P799" i="1"/>
  <c r="K794" i="1"/>
  <c r="P794" i="1"/>
  <c r="K995" i="1"/>
  <c r="P995" i="1"/>
  <c r="K785" i="1"/>
  <c r="P785" i="1"/>
  <c r="K990" i="1"/>
  <c r="P990" i="1"/>
  <c r="K518" i="1"/>
  <c r="P518" i="1"/>
  <c r="K767" i="1"/>
  <c r="P767" i="1"/>
  <c r="K761" i="1"/>
  <c r="P761" i="1"/>
  <c r="K977" i="1"/>
  <c r="P977" i="1"/>
  <c r="K972" i="1"/>
  <c r="P972" i="1"/>
  <c r="K752" i="1"/>
  <c r="P752" i="1"/>
  <c r="K595" i="1"/>
  <c r="P595" i="1"/>
  <c r="K957" i="1"/>
  <c r="P957" i="1"/>
  <c r="K744" i="1"/>
  <c r="P744" i="1"/>
  <c r="K738" i="1"/>
  <c r="P738" i="1"/>
  <c r="K734" i="1"/>
  <c r="P734" i="1"/>
  <c r="K938" i="1"/>
  <c r="P938" i="1"/>
  <c r="K728" i="1"/>
  <c r="P728" i="1"/>
  <c r="K727" i="1"/>
  <c r="P727" i="1"/>
  <c r="K922" i="1"/>
  <c r="P922" i="1"/>
  <c r="K718" i="1"/>
  <c r="P718" i="1"/>
  <c r="K914" i="1"/>
  <c r="P914" i="1"/>
  <c r="K711" i="1"/>
  <c r="P711" i="1"/>
  <c r="P661" i="1"/>
  <c r="P795" i="1"/>
  <c r="P615" i="1"/>
  <c r="P757" i="1"/>
  <c r="P952" i="1"/>
  <c r="P935" i="1"/>
  <c r="P570" i="1"/>
  <c r="K158" i="1"/>
  <c r="P158" i="1"/>
  <c r="K331" i="1"/>
  <c r="P331" i="1"/>
  <c r="K398" i="1"/>
  <c r="P398" i="1"/>
  <c r="K66" i="1"/>
  <c r="P66" i="1"/>
  <c r="K103" i="1"/>
  <c r="P103" i="1"/>
  <c r="K152" i="1"/>
  <c r="P152" i="1"/>
  <c r="K318" i="1"/>
  <c r="P318" i="1"/>
  <c r="K317" i="1"/>
  <c r="P317" i="1"/>
  <c r="K1099" i="1"/>
  <c r="P1099" i="1"/>
  <c r="K872" i="1"/>
  <c r="P872" i="1"/>
  <c r="K1086" i="1"/>
  <c r="P1086" i="1"/>
  <c r="K671" i="1"/>
  <c r="P671" i="1"/>
  <c r="K1075" i="1"/>
  <c r="P1075" i="1"/>
  <c r="K1065" i="1"/>
  <c r="P1065" i="1"/>
  <c r="K1058" i="1"/>
  <c r="P1058" i="1"/>
  <c r="K858" i="1"/>
  <c r="P858" i="1"/>
  <c r="K852" i="1"/>
  <c r="P852" i="1"/>
  <c r="K1043" i="1"/>
  <c r="P1043" i="1"/>
  <c r="K845" i="1"/>
  <c r="P845" i="1"/>
  <c r="K838" i="1"/>
  <c r="P838" i="1"/>
  <c r="K1035" i="1"/>
  <c r="P1035" i="1"/>
  <c r="K526" i="1"/>
  <c r="P526" i="1"/>
  <c r="K1024" i="1"/>
  <c r="P1024" i="1"/>
  <c r="K819" i="1"/>
  <c r="P819" i="1"/>
  <c r="K1018" i="1"/>
  <c r="P1018" i="1"/>
  <c r="K808" i="1"/>
  <c r="P808" i="1"/>
  <c r="K1010" i="1"/>
  <c r="P1010" i="1"/>
  <c r="K802" i="1"/>
  <c r="P802" i="1"/>
  <c r="K627" i="1"/>
  <c r="P627" i="1"/>
  <c r="K793" i="1"/>
  <c r="P793" i="1"/>
  <c r="K789" i="1"/>
  <c r="P789" i="1"/>
  <c r="K992" i="1"/>
  <c r="P992" i="1"/>
  <c r="K777" i="1"/>
  <c r="P777" i="1"/>
  <c r="K774" i="1"/>
  <c r="P774" i="1"/>
  <c r="K517" i="1"/>
  <c r="P517" i="1"/>
  <c r="K608" i="1"/>
  <c r="P608" i="1"/>
  <c r="K755" i="1"/>
  <c r="P755" i="1"/>
  <c r="K971" i="1"/>
  <c r="P971" i="1"/>
  <c r="K439" i="1"/>
  <c r="P439" i="1"/>
  <c r="K485" i="1"/>
  <c r="P485" i="1"/>
  <c r="K956" i="1"/>
  <c r="P956" i="1"/>
  <c r="K951" i="1"/>
  <c r="P951" i="1"/>
  <c r="K737" i="1"/>
  <c r="P737" i="1"/>
  <c r="K587" i="1"/>
  <c r="P587" i="1"/>
  <c r="K582" i="1"/>
  <c r="P582" i="1"/>
  <c r="K932" i="1"/>
  <c r="P932" i="1"/>
  <c r="K576" i="1"/>
  <c r="P576" i="1"/>
  <c r="K573" i="1"/>
  <c r="P573" i="1"/>
  <c r="K569" i="1"/>
  <c r="P569" i="1"/>
  <c r="K511" i="1"/>
  <c r="P511" i="1"/>
  <c r="K564" i="1"/>
  <c r="P564" i="1"/>
  <c r="P642" i="1"/>
  <c r="P756" i="1"/>
  <c r="P960" i="1"/>
  <c r="P941" i="1"/>
  <c r="P719" i="1"/>
</calcChain>
</file>

<file path=xl/sharedStrings.xml><?xml version="1.0" encoding="utf-8"?>
<sst xmlns="http://schemas.openxmlformats.org/spreadsheetml/2006/main" count="3650" uniqueCount="200">
  <si>
    <t>30-34</t>
  </si>
  <si>
    <t>M</t>
  </si>
  <si>
    <t>35-39</t>
  </si>
  <si>
    <t>40-44</t>
  </si>
  <si>
    <t>45-49</t>
  </si>
  <si>
    <t>F</t>
  </si>
  <si>
    <t>sexo</t>
  </si>
  <si>
    <t>categoria_de_interesse</t>
  </si>
  <si>
    <t>qte_de_impressões</t>
  </si>
  <si>
    <t>qte_de_clicks</t>
  </si>
  <si>
    <t>id_do_anuncio</t>
  </si>
  <si>
    <t>descrição_da_categoria</t>
  </si>
  <si>
    <t xml:space="preserve">Business and Industry </t>
  </si>
  <si>
    <t xml:space="preserve">Advertising Agriculture Architecture Aviation Banking </t>
  </si>
  <si>
    <t xml:space="preserve">Investment banking Online banking Retail banking </t>
  </si>
  <si>
    <t xml:space="preserve">Business Construction Design </t>
  </si>
  <si>
    <t xml:space="preserve">Fashion design Graphic design Interior design </t>
  </si>
  <si>
    <t xml:space="preserve">Economics Engineering Entrepreneurship Health care Higher education Management Marketing Nursing </t>
  </si>
  <si>
    <t>Online</t>
  </si>
  <si>
    <t xml:space="preserve">Digital marketing </t>
  </si>
  <si>
    <t>Display advertising</t>
  </si>
  <si>
    <t>Email marketing</t>
  </si>
  <si>
    <t>Online advertising</t>
  </si>
  <si>
    <t xml:space="preserve">Search engine optimization Social media </t>
  </si>
  <si>
    <t>Social media marketing Web design</t>
  </si>
  <si>
    <t xml:space="preserve">Web development Web hosting </t>
  </si>
  <si>
    <t xml:space="preserve">Personal finance Creditcards </t>
  </si>
  <si>
    <t xml:space="preserve">Insurance Investment Mortgage loans </t>
  </si>
  <si>
    <t xml:space="preserve">Real estate Retail Sales Science </t>
  </si>
  <si>
    <t xml:space="preserve">Small business </t>
  </si>
  <si>
    <t xml:space="preserve">Entertainment </t>
  </si>
  <si>
    <t>Games</t>
  </si>
  <si>
    <t xml:space="preserve">Action games </t>
  </si>
  <si>
    <t>Board games</t>
  </si>
  <si>
    <t>Browser games</t>
  </si>
  <si>
    <t>Card games</t>
  </si>
  <si>
    <t>Casino games</t>
  </si>
  <si>
    <t xml:space="preserve">First-person shooter games Gambling </t>
  </si>
  <si>
    <t>Massively multiplayer online games</t>
  </si>
  <si>
    <t>Massively multiplayer online role-playing games Online games</t>
  </si>
  <si>
    <t>Online poker</t>
  </si>
  <si>
    <t>Puzzle video games</t>
  </si>
  <si>
    <t>Racing games</t>
  </si>
  <si>
    <t>Role-playing games</t>
  </si>
  <si>
    <t>Shooter games</t>
  </si>
  <si>
    <t>Simulation games</t>
  </si>
  <si>
    <t>Sports games</t>
  </si>
  <si>
    <t>Strategy games</t>
  </si>
  <si>
    <t>Video games</t>
  </si>
  <si>
    <t xml:space="preserve">Word games </t>
  </si>
  <si>
    <t xml:space="preserve">Live events Ballet </t>
  </si>
  <si>
    <t>Bars</t>
  </si>
  <si>
    <t>Concerts Dancehalls Music festivals Nightclubs Parties</t>
  </si>
  <si>
    <t>Plays</t>
  </si>
  <si>
    <t xml:space="preserve">Theatre </t>
  </si>
  <si>
    <t>Movies</t>
  </si>
  <si>
    <t xml:space="preserve">Action movies </t>
  </si>
  <si>
    <t xml:space="preserve">Animated movies Anime movies Bollywood movies Comedy movies Documentary movies Drama movies Fantasy movies Horror movies Musical theatre Science fiction movies </t>
  </si>
  <si>
    <t xml:space="preserve">Thriller movies Music </t>
  </si>
  <si>
    <t xml:space="preserve">Blues music Classical music Country music Dance music Electronic music Gospel music Heavy metal music Hip hop music Jazz music </t>
  </si>
  <si>
    <t>Music videos</t>
  </si>
  <si>
    <t>Pop music</t>
  </si>
  <si>
    <t>Rhythm and blues music Rock music</t>
  </si>
  <si>
    <t xml:space="preserve">Soul music </t>
  </si>
  <si>
    <t xml:space="preserve">Reading Books </t>
  </si>
  <si>
    <t>Comics</t>
  </si>
  <si>
    <t>E-books</t>
  </si>
  <si>
    <t>Fiction books Literature Magazines Manga</t>
  </si>
  <si>
    <t xml:space="preserve">Mystery fiction Newspapers Non-fiction books Romance novels </t>
  </si>
  <si>
    <t>TV</t>
  </si>
  <si>
    <t xml:space="preserve">TV comedies </t>
  </si>
  <si>
    <t xml:space="preserve">TV game shows TV reality shows TV talkshows </t>
  </si>
  <si>
    <t xml:space="preserve">Family and relationships </t>
  </si>
  <si>
    <t xml:space="preserve">Dating Family Fatherhood Friendship Marriage Motherhood Parenting Weddings </t>
  </si>
  <si>
    <t xml:space="preserve">Fitness and wellness </t>
  </si>
  <si>
    <t xml:space="preserve">Bodybuilding </t>
  </si>
  <si>
    <t>Meditation Physical exercise Physical fitness Running</t>
  </si>
  <si>
    <t xml:space="preserve">Weight training Yoga </t>
  </si>
  <si>
    <t xml:space="preserve">Food and drink </t>
  </si>
  <si>
    <t xml:space="preserve">Alcoholic beverages Beer </t>
  </si>
  <si>
    <t xml:space="preserve">Distilled beverage </t>
  </si>
  <si>
    <t xml:space="preserve">Wine Beverages </t>
  </si>
  <si>
    <t>Coffee Energy drinks Juice</t>
  </si>
  <si>
    <t xml:space="preserve">Soft drinks Tea </t>
  </si>
  <si>
    <t xml:space="preserve">Cooking Baking </t>
  </si>
  <si>
    <t xml:space="preserve">Recipes Cuisine </t>
  </si>
  <si>
    <t>Chinese cuisine French cuisine German cuisine</t>
  </si>
  <si>
    <t>Greek cuisine</t>
  </si>
  <si>
    <t>Indian cuisine</t>
  </si>
  <si>
    <t>Italian cuisine Japanese cuisine Korean cuisine</t>
  </si>
  <si>
    <t xml:space="preserve">Latin American cuisine Mexican cuisine Middle Eastern cuisine Spanish cuisine </t>
  </si>
  <si>
    <t xml:space="preserve">Thai cuisine </t>
  </si>
  <si>
    <t xml:space="preserve">Vietnamese cuisine Food </t>
  </si>
  <si>
    <t>Barbecue Chocolate Desserts</t>
  </si>
  <si>
    <t xml:space="preserve">Fast food Organic food Pizza Seafood Veganism Vegetarianism </t>
  </si>
  <si>
    <t xml:space="preserve">Restaurants Coffeehouses </t>
  </si>
  <si>
    <t>Diners</t>
  </si>
  <si>
    <t xml:space="preserve">Fast casual restaurants Fast food restaurants </t>
  </si>
  <si>
    <t xml:space="preserve">Hobbies and activities </t>
  </si>
  <si>
    <t xml:space="preserve">Arts and music Acting Crafts </t>
  </si>
  <si>
    <t>Dance Drawing Drums</t>
  </si>
  <si>
    <t>Fine art</t>
  </si>
  <si>
    <t>Guitar</t>
  </si>
  <si>
    <t xml:space="preserve">Painting Performing arts Photography Sculpture Singing </t>
  </si>
  <si>
    <t xml:space="preserve">Writing Current events </t>
  </si>
  <si>
    <t>Home and garden</t>
  </si>
  <si>
    <t xml:space="preserve">Do it yourself (DIY) </t>
  </si>
  <si>
    <t>Furniture Gardening</t>
  </si>
  <si>
    <t xml:space="preserve">Home Appliances Home improvement </t>
  </si>
  <si>
    <t>Pets</t>
  </si>
  <si>
    <t xml:space="preserve">Birds </t>
  </si>
  <si>
    <t xml:space="preserve">Cats Dogs Fish Horses Pet food Rabbits Reptiles </t>
  </si>
  <si>
    <t xml:space="preserve">Politics and social issues Charity and causes </t>
  </si>
  <si>
    <t>Community issues Environmentalism Law</t>
  </si>
  <si>
    <t xml:space="preserve">Military </t>
  </si>
  <si>
    <t xml:space="preserve">Politics Religion Sustainability </t>
  </si>
  <si>
    <t xml:space="preserve">Veterans </t>
  </si>
  <si>
    <t xml:space="preserve">Volunteering Travel </t>
  </si>
  <si>
    <t>Adventure travel Air travel Beaches</t>
  </si>
  <si>
    <t xml:space="preserve">Car rentals Cruises Ecotourism Hotels </t>
  </si>
  <si>
    <t xml:space="preserve">Lakes Mountains Nature Theme parks Tourism Vacations </t>
  </si>
  <si>
    <t xml:space="preserve">Vehicles Automobiles </t>
  </si>
  <si>
    <t>Boats</t>
  </si>
  <si>
    <t>Electric vehicle Hybrids Minivans Motorcycles RVs</t>
  </si>
  <si>
    <t xml:space="preserve">SUVs Scooters Trucks </t>
  </si>
  <si>
    <t xml:space="preserve">Shopping and fashion </t>
  </si>
  <si>
    <t>Beauty</t>
  </si>
  <si>
    <t xml:space="preserve">Beauty salons </t>
  </si>
  <si>
    <t xml:space="preserve">Cosmetics Fragrances Hair products Spas </t>
  </si>
  <si>
    <t xml:space="preserve">Tattoos Clothing </t>
  </si>
  <si>
    <t>Children’s clothing Men’s clothing Shoes</t>
  </si>
  <si>
    <t xml:space="preserve">Women’s clothing </t>
  </si>
  <si>
    <t xml:space="preserve">Fashion accessories Dresses </t>
  </si>
  <si>
    <t xml:space="preserve">Handbags Jewelry Sunglasses </t>
  </si>
  <si>
    <t xml:space="preserve">Shopping Boutiques </t>
  </si>
  <si>
    <t xml:space="preserve">Coupons Discount stores Luxury goods Online shopping Shopping malls </t>
  </si>
  <si>
    <t xml:space="preserve">Toys </t>
  </si>
  <si>
    <t xml:space="preserve">Sports and outdoors </t>
  </si>
  <si>
    <t xml:space="preserve">Outdoor recreation Boating </t>
  </si>
  <si>
    <t xml:space="preserve">Camping Fishing Horseback riding Hunting Mountain biking Surfing </t>
  </si>
  <si>
    <t>Sports</t>
  </si>
  <si>
    <t xml:space="preserve">American football </t>
  </si>
  <si>
    <t xml:space="preserve">Technology </t>
  </si>
  <si>
    <t>Association football (Soccer) Auto racing</t>
  </si>
  <si>
    <t>Baseball</t>
  </si>
  <si>
    <t xml:space="preserve">Basketball </t>
  </si>
  <si>
    <t>College football Golf</t>
  </si>
  <si>
    <t xml:space="preserve">Marathons Skiing Snowboarding Swimming Tennis Thriathlons Volleyball </t>
  </si>
  <si>
    <t>Computers</t>
  </si>
  <si>
    <t xml:space="preserve">Computer memory </t>
  </si>
  <si>
    <t xml:space="preserve">Computer monitors Computer processors Computer servers Desktop computers Free software </t>
  </si>
  <si>
    <t>Hard drives Network storage Software</t>
  </si>
  <si>
    <t xml:space="preserve">Tablet computers </t>
  </si>
  <si>
    <t xml:space="preserve">Consumer electronics Audio equipment </t>
  </si>
  <si>
    <t>Camcorders</t>
  </si>
  <si>
    <t>Cameras</t>
  </si>
  <si>
    <t>E-book readers</t>
  </si>
  <si>
    <t>GPS devices</t>
  </si>
  <si>
    <t>Game consoles</t>
  </si>
  <si>
    <t xml:space="preserve">Mobile phones Portable media players Projectors Smartphones Televisions </t>
  </si>
  <si>
    <t>Campanha A</t>
  </si>
  <si>
    <t>Campanha B</t>
  </si>
  <si>
    <t>Campanha C</t>
  </si>
  <si>
    <t>campanha</t>
  </si>
  <si>
    <t>valor_investido_no_anúncio</t>
  </si>
  <si>
    <t>Qte_de_Vendas_após_Clique</t>
  </si>
  <si>
    <t>faixa_etária</t>
  </si>
  <si>
    <t>Variável</t>
  </si>
  <si>
    <t>Descrição</t>
  </si>
  <si>
    <t>Identificação única do anúncio mostrado na timeline do Facebook.</t>
  </si>
  <si>
    <t>Campanha realizada. Uma campanha é uma combinação de públicos alvo para se mostrar os anúncios.</t>
  </si>
  <si>
    <t>Faixa de idade do lead em que o anúncio foi mostrado.</t>
  </si>
  <si>
    <t>Sexo do lead em que o anúncio foi mostrado.</t>
  </si>
  <si>
    <t>Identificação da categoria de interesse do lead em que o anúncio foi mostrado.</t>
  </si>
  <si>
    <t>Quantidade de visualizações que este anúncio obteve.</t>
  </si>
  <si>
    <t>Quantidade de cliques que este anúncio obteve.</t>
  </si>
  <si>
    <t>Uma das formas de custo do Facebook Ads é o custo por clique. Esta variável mede o valor que o Facebook cobrou pela quantidade de cliques recebidos.</t>
  </si>
  <si>
    <t>qte_de_Vendas_após_Clique</t>
  </si>
  <si>
    <t>Quantidade de vendas de cursos obtidos após o clique no anúncio.</t>
  </si>
  <si>
    <t>Faturamento</t>
  </si>
  <si>
    <t>Lucro do Anúncio</t>
  </si>
  <si>
    <t>CTR</t>
  </si>
  <si>
    <t>TC</t>
  </si>
  <si>
    <t>CPC</t>
  </si>
  <si>
    <t>CC</t>
  </si>
  <si>
    <t>ROI</t>
  </si>
  <si>
    <t>Total Geral</t>
  </si>
  <si>
    <t>Soma de Qte_de_Vendas_após_Clique</t>
  </si>
  <si>
    <t>Soma de Faturamento</t>
  </si>
  <si>
    <t>Média de ROI</t>
  </si>
  <si>
    <t>Média de CC</t>
  </si>
  <si>
    <t>Análise Exploratória (EDA)</t>
  </si>
  <si>
    <t>(vazio)</t>
  </si>
  <si>
    <t>1. Quais categorias de interesse apresentam maior ROI médio?</t>
  </si>
  <si>
    <t>R: A categoria 104 apresenta maior média de ROI.</t>
  </si>
  <si>
    <t>Categoria de interesse</t>
  </si>
  <si>
    <t>2. Quais perfis possuem ROI acima da média geral?</t>
  </si>
  <si>
    <t>R: Os perfis de 35-39 anos, masculinos, e de categoria de interesse 31 possuem ROI acima da média geral.</t>
  </si>
  <si>
    <t>3. Quais categorias combinam alto ROI e alto volume de vendas?</t>
  </si>
  <si>
    <t xml:space="preserve">R: A categoria 63 possui maior ROI e maior volume de vendas.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</si>
</sst>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0.000%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MT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0B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34" borderId="10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0" xfId="0" applyFont="1"/>
    <xf numFmtId="165" fontId="0" fillId="0" borderId="0" xfId="43" applyNumberFormat="1" applyFont="1"/>
    <xf numFmtId="2" fontId="0" fillId="0" borderId="0" xfId="0" applyNumberFormat="1"/>
    <xf numFmtId="2" fontId="18" fillId="33" borderId="0" xfId="0" applyNumberFormat="1" applyFont="1" applyFill="1" applyAlignment="1">
      <alignment horizontal="center" vertical="center" wrapText="1"/>
    </xf>
    <xf numFmtId="2" fontId="0" fillId="0" borderId="0" xfId="1" applyNumberFormat="1" applyFont="1" applyAlignment="1">
      <alignment horizontal="right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0" fontId="24" fillId="0" borderId="0" xfId="0" applyFont="1"/>
    <xf numFmtId="0" fontId="0" fillId="0" borderId="0" xfId="0" applyAlignment="1">
      <alignment horizontal="left" indent="2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porfirio barros" refreshedDate="46021.006108449074" createdVersion="8" refreshedVersion="8" minRefreshableVersion="3" recordCount="1144" xr:uid="{6F8E7051-E72B-49C5-B400-C5E1BFD3F585}">
  <cacheSource type="worksheet">
    <worksheetSource ref="A1:P1048576" sheet="dados_da_campanha"/>
  </cacheSource>
  <cacheFields count="16">
    <cacheField name="id_do_anuncio" numFmtId="0">
      <sharedItems containsString="0" containsBlank="1" containsNumber="1" containsInteger="1" minValue="708746" maxValue="1314415"/>
    </cacheField>
    <cacheField name="campanha" numFmtId="0">
      <sharedItems containsBlank="1"/>
    </cacheField>
    <cacheField name="faixa_etária" numFmtId="0">
      <sharedItems containsBlank="1" count="5">
        <s v="30-34"/>
        <s v="35-39"/>
        <s v="40-44"/>
        <s v="45-49"/>
        <m/>
      </sharedItems>
    </cacheField>
    <cacheField name="sexo" numFmtId="0">
      <sharedItems containsBlank="1" count="3">
        <s v="M"/>
        <s v="F"/>
        <m/>
      </sharedItems>
    </cacheField>
    <cacheField name="categoria_de_interesse" numFmtId="0">
      <sharedItems containsString="0" containsBlank="1" containsNumber="1" containsInteger="1" minValue="2" maxValue="114" count="41">
        <n v="15"/>
        <n v="16"/>
        <n v="20"/>
        <n v="28"/>
        <n v="29"/>
        <n v="27"/>
        <n v="31"/>
        <n v="7"/>
        <n v="30"/>
        <n v="24"/>
        <n v="21"/>
        <n v="32"/>
        <n v="18"/>
        <n v="63"/>
        <n v="65"/>
        <n v="25"/>
        <n v="10"/>
        <n v="19"/>
        <n v="26"/>
        <n v="36"/>
        <n v="23"/>
        <n v="64"/>
        <n v="22"/>
        <n v="2"/>
        <n v="66"/>
        <n v="100"/>
        <n v="101"/>
        <n v="102"/>
        <n v="103"/>
        <n v="105"/>
        <n v="107"/>
        <n v="110"/>
        <n v="111"/>
        <n v="112"/>
        <n v="113"/>
        <n v="108"/>
        <n v="109"/>
        <n v="114"/>
        <n v="104"/>
        <n v="106"/>
        <m/>
      </sharedItems>
    </cacheField>
    <cacheField name="qte_de_impressões" numFmtId="0">
      <sharedItems containsString="0" containsBlank="1" containsNumber="1" containsInteger="1" minValue="87" maxValue="3052003"/>
    </cacheField>
    <cacheField name="qte_de_clicks" numFmtId="0">
      <sharedItems containsString="0" containsBlank="1" containsNumber="1" containsInteger="1" minValue="0" maxValue="421"/>
    </cacheField>
    <cacheField name="valor_investido_no_anúncio" numFmtId="0">
      <sharedItems containsString="0" containsBlank="1" containsNumber="1" minValue="0" maxValue="639.94999810000002"/>
    </cacheField>
    <cacheField name="Qte_de_Vendas_após_Clique" numFmtId="0">
      <sharedItems containsString="0" containsBlank="1" containsNumber="1" containsInteger="1" minValue="0" maxValue="86"/>
    </cacheField>
    <cacheField name="Faturamento" numFmtId="0">
      <sharedItems containsString="0" containsBlank="1" containsNumber="1" containsInteger="1" minValue="0" maxValue="7310"/>
    </cacheField>
    <cacheField name="Lucro do Anúncio" numFmtId="2">
      <sharedItems containsString="0" containsBlank="1" containsNumber="1" minValue="-332.98999889999999" maxValue="6670.0500019000001"/>
    </cacheField>
    <cacheField name="CTR" numFmtId="0">
      <sharedItems containsString="0" containsBlank="1" containsNumber="1" minValue="0" maxValue="1.0593220338983051E-3"/>
    </cacheField>
    <cacheField name="TC" numFmtId="0">
      <sharedItems containsString="0" containsBlank="1" containsNumber="1" minValue="0" maxValue="11"/>
    </cacheField>
    <cacheField name="CPC" numFmtId="2">
      <sharedItems containsString="0" containsBlank="1" containsNumber="1" minValue="0" maxValue="2.2119999400000001"/>
    </cacheField>
    <cacheField name="CC" numFmtId="2">
      <sharedItems containsString="0" containsBlank="1" containsNumber="1" minValue="0" maxValue="295.54999570000001"/>
    </cacheField>
    <cacheField name="ROI" numFmtId="2">
      <sharedItems containsString="0" containsBlank="1" containsNumber="1" minValue="-1" maxValue="943.444407716050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4">
  <r>
    <n v="708746"/>
    <s v="Campanha A"/>
    <x v="0"/>
    <x v="0"/>
    <x v="0"/>
    <n v="7350"/>
    <n v="1"/>
    <n v="1.4299999480000001"/>
    <n v="3"/>
    <n v="255"/>
    <n v="253.57000005200001"/>
    <n v="1.3605442176870748E-4"/>
    <n v="3"/>
    <n v="1.4299999480000001"/>
    <n v="0.47666664933333336"/>
    <n v="177.32168480610324"/>
  </r>
  <r>
    <n v="708749"/>
    <s v="Campanha A"/>
    <x v="0"/>
    <x v="0"/>
    <x v="1"/>
    <n v="17861"/>
    <n v="2"/>
    <n v="1.820000023"/>
    <n v="2"/>
    <n v="170"/>
    <n v="168.17999997699999"/>
    <n v="1.1197581322434354E-4"/>
    <n v="1"/>
    <n v="0.91000001149999998"/>
    <n v="0.91000001149999998"/>
    <n v="92.406592226180422"/>
  </r>
  <r>
    <n v="708771"/>
    <s v="Campanha A"/>
    <x v="0"/>
    <x v="0"/>
    <x v="2"/>
    <n v="693"/>
    <n v="0"/>
    <n v="0"/>
    <n v="0"/>
    <n v="0"/>
    <n v="0"/>
    <n v="0"/>
    <n v="0"/>
    <n v="0"/>
    <n v="0"/>
    <n v="0"/>
  </r>
  <r>
    <n v="708815"/>
    <s v="Campanha A"/>
    <x v="0"/>
    <x v="0"/>
    <x v="3"/>
    <n v="4259"/>
    <n v="1"/>
    <n v="1.25"/>
    <n v="1"/>
    <n v="85"/>
    <n v="83.75"/>
    <n v="2.3479690068091102E-4"/>
    <n v="1"/>
    <n v="1.25"/>
    <n v="1.25"/>
    <n v="67"/>
  </r>
  <r>
    <n v="708818"/>
    <s v="Campanha A"/>
    <x v="0"/>
    <x v="0"/>
    <x v="3"/>
    <n v="4133"/>
    <n v="1"/>
    <n v="1.289999962"/>
    <n v="2"/>
    <n v="170"/>
    <n v="168.710000038"/>
    <n v="2.4195499637067505E-4"/>
    <n v="2"/>
    <n v="1.289999962"/>
    <n v="0.644999981"/>
    <n v="130.78294961841246"/>
  </r>
  <r>
    <n v="708820"/>
    <s v="Campanha A"/>
    <x v="0"/>
    <x v="0"/>
    <x v="4"/>
    <n v="1915"/>
    <n v="0"/>
    <n v="0"/>
    <n v="0"/>
    <n v="0"/>
    <n v="0"/>
    <n v="0"/>
    <n v="0"/>
    <n v="0"/>
    <n v="0"/>
    <n v="0"/>
  </r>
  <r>
    <n v="708889"/>
    <s v="Campanha A"/>
    <x v="0"/>
    <x v="0"/>
    <x v="0"/>
    <n v="15615"/>
    <n v="3"/>
    <n v="4.7699999809999998"/>
    <n v="1"/>
    <n v="85"/>
    <n v="80.230000019000002"/>
    <n v="1.9212295869356388E-4"/>
    <n v="0.33"/>
    <n v="1.5899999936666667"/>
    <n v="4.7699999809999998"/>
    <n v="16.819706569931746"/>
  </r>
  <r>
    <n v="708895"/>
    <s v="Campanha A"/>
    <x v="0"/>
    <x v="0"/>
    <x v="1"/>
    <n v="10951"/>
    <n v="1"/>
    <n v="1.269999981"/>
    <n v="2"/>
    <n v="170"/>
    <n v="168.73000001899999"/>
    <n v="9.1315861565153872E-5"/>
    <n v="2"/>
    <n v="1.269999981"/>
    <n v="0.6349999905"/>
    <n v="132.85826971913946"/>
  </r>
  <r>
    <n v="708953"/>
    <s v="Campanha A"/>
    <x v="0"/>
    <x v="0"/>
    <x v="5"/>
    <n v="2355"/>
    <n v="1"/>
    <n v="1.5"/>
    <n v="1"/>
    <n v="85"/>
    <n v="83.5"/>
    <n v="4.2462845010615713E-4"/>
    <n v="1"/>
    <n v="1.5"/>
    <n v="1.5"/>
    <n v="55.666666666666664"/>
  </r>
  <r>
    <n v="708958"/>
    <s v="Campanha A"/>
    <x v="0"/>
    <x v="0"/>
    <x v="3"/>
    <n v="9502"/>
    <n v="3"/>
    <n v="3.1599999670000001"/>
    <n v="1"/>
    <n v="85"/>
    <n v="81.840000032999995"/>
    <n v="3.1572300568301408E-4"/>
    <n v="0.33"/>
    <n v="1.0533333223333334"/>
    <n v="3.1599999670000001"/>
    <n v="25.898734458119694"/>
  </r>
  <r>
    <n v="708979"/>
    <s v="Campanha A"/>
    <x v="0"/>
    <x v="0"/>
    <x v="6"/>
    <n v="1224"/>
    <n v="0"/>
    <n v="0"/>
    <n v="0"/>
    <n v="0"/>
    <n v="0"/>
    <n v="0"/>
    <n v="0"/>
    <n v="0"/>
    <n v="0"/>
    <n v="0"/>
  </r>
  <r>
    <n v="709023"/>
    <s v="Campanha A"/>
    <x v="0"/>
    <x v="0"/>
    <x v="7"/>
    <n v="735"/>
    <n v="0"/>
    <n v="0"/>
    <n v="0"/>
    <n v="0"/>
    <n v="0"/>
    <n v="0"/>
    <n v="0"/>
    <n v="0"/>
    <n v="0"/>
    <n v="0"/>
  </r>
  <r>
    <n v="709038"/>
    <s v="Campanha A"/>
    <x v="0"/>
    <x v="0"/>
    <x v="1"/>
    <n v="5117"/>
    <n v="0"/>
    <n v="0"/>
    <n v="0"/>
    <n v="0"/>
    <n v="0"/>
    <n v="0"/>
    <n v="0"/>
    <n v="0"/>
    <n v="0"/>
    <n v="0"/>
  </r>
  <r>
    <n v="709040"/>
    <s v="Campanha A"/>
    <x v="0"/>
    <x v="0"/>
    <x v="1"/>
    <n v="5120"/>
    <n v="0"/>
    <n v="0"/>
    <n v="0"/>
    <n v="0"/>
    <n v="0"/>
    <n v="0"/>
    <n v="0"/>
    <n v="0"/>
    <n v="0"/>
    <n v="0"/>
  </r>
  <r>
    <n v="709059"/>
    <s v="Campanha A"/>
    <x v="0"/>
    <x v="0"/>
    <x v="2"/>
    <n v="14669"/>
    <n v="7"/>
    <n v="10.280000210000001"/>
    <n v="2"/>
    <n v="170"/>
    <n v="159.71999979"/>
    <n v="4.77196809598473E-4"/>
    <n v="0.28999999999999998"/>
    <n v="1.4685714585714287"/>
    <n v="5.1400001050000004"/>
    <n v="15.536964642727375"/>
  </r>
  <r>
    <n v="709105"/>
    <s v="Campanha A"/>
    <x v="0"/>
    <x v="0"/>
    <x v="3"/>
    <n v="1241"/>
    <n v="0"/>
    <n v="0"/>
    <n v="0"/>
    <n v="0"/>
    <n v="0"/>
    <n v="0"/>
    <n v="0"/>
    <n v="0"/>
    <n v="0"/>
    <n v="0"/>
  </r>
  <r>
    <n v="709115"/>
    <s v="Campanha A"/>
    <x v="0"/>
    <x v="0"/>
    <x v="8"/>
    <n v="2305"/>
    <n v="1"/>
    <n v="0.56999999300000004"/>
    <n v="1"/>
    <n v="85"/>
    <n v="84.430000007000004"/>
    <n v="4.3383947939262471E-4"/>
    <n v="1"/>
    <n v="0.56999999300000004"/>
    <n v="0.56999999300000004"/>
    <n v="148.12280884887659"/>
  </r>
  <r>
    <n v="709124"/>
    <s v="Campanha A"/>
    <x v="0"/>
    <x v="0"/>
    <x v="6"/>
    <n v="1024"/>
    <n v="0"/>
    <n v="0"/>
    <n v="0"/>
    <n v="0"/>
    <n v="0"/>
    <n v="0"/>
    <n v="0"/>
    <n v="0"/>
    <n v="0"/>
    <n v="0"/>
  </r>
  <r>
    <n v="709179"/>
    <s v="Campanha A"/>
    <x v="1"/>
    <x v="0"/>
    <x v="0"/>
    <n v="4627"/>
    <n v="1"/>
    <n v="1.690000057"/>
    <n v="1"/>
    <n v="85"/>
    <n v="83.309999942999994"/>
    <n v="2.1612275772638859E-4"/>
    <n v="1"/>
    <n v="1.690000057"/>
    <n v="1.690000057"/>
    <n v="49.295856291796561"/>
  </r>
  <r>
    <n v="709183"/>
    <s v="Campanha A"/>
    <x v="1"/>
    <x v="0"/>
    <x v="1"/>
    <n v="21026"/>
    <n v="4"/>
    <n v="4.6300001139999996"/>
    <n v="3"/>
    <n v="255"/>
    <n v="250.36999988599999"/>
    <n v="1.9024065442785123E-4"/>
    <n v="0.75"/>
    <n v="1.1575000284999999"/>
    <n v="1.5433333713333333"/>
    <n v="54.0755925964109"/>
  </r>
  <r>
    <n v="709320"/>
    <s v="Campanha A"/>
    <x v="1"/>
    <x v="0"/>
    <x v="0"/>
    <n v="1422"/>
    <n v="0"/>
    <n v="0"/>
    <n v="0"/>
    <n v="0"/>
    <n v="0"/>
    <n v="0"/>
    <n v="0"/>
    <n v="0"/>
    <n v="0"/>
    <n v="0"/>
  </r>
  <r>
    <n v="709323"/>
    <s v="Campanha A"/>
    <x v="1"/>
    <x v="0"/>
    <x v="0"/>
    <n v="7132"/>
    <n v="2"/>
    <n v="2.6099998950000001"/>
    <n v="1"/>
    <n v="85"/>
    <n v="82.390000104999999"/>
    <n v="2.8042624789680314E-4"/>
    <n v="0.5"/>
    <n v="1.3049999475"/>
    <n v="2.6099998950000001"/>
    <n v="31.567051118597842"/>
  </r>
  <r>
    <n v="709326"/>
    <s v="Campanha A"/>
    <x v="1"/>
    <x v="0"/>
    <x v="1"/>
    <n v="12190"/>
    <n v="2"/>
    <n v="3.0499999519999998"/>
    <n v="1"/>
    <n v="85"/>
    <n v="81.950000048000007"/>
    <n v="1.6406890894175554E-4"/>
    <n v="0.5"/>
    <n v="1.5249999759999999"/>
    <n v="3.0499999519999998"/>
    <n v="26.868852897608182"/>
  </r>
  <r>
    <n v="709327"/>
    <s v="Campanha A"/>
    <x v="1"/>
    <x v="0"/>
    <x v="1"/>
    <n v="12193"/>
    <n v="2"/>
    <n v="3.0599999430000002"/>
    <n v="2"/>
    <n v="170"/>
    <n v="166.94000005699999"/>
    <n v="1.640285409661281E-4"/>
    <n v="1"/>
    <n v="1.5299999715000001"/>
    <n v="1.5299999715000001"/>
    <n v="54.555556590413957"/>
  </r>
  <r>
    <n v="709328"/>
    <s v="Campanha A"/>
    <x v="1"/>
    <x v="0"/>
    <x v="1"/>
    <n v="3332"/>
    <n v="0"/>
    <n v="0"/>
    <n v="0"/>
    <n v="0"/>
    <n v="0"/>
    <n v="0"/>
    <n v="0"/>
    <n v="0"/>
    <n v="0"/>
    <n v="0"/>
  </r>
  <r>
    <n v="709455"/>
    <s v="Campanha A"/>
    <x v="1"/>
    <x v="0"/>
    <x v="7"/>
    <n v="559"/>
    <n v="0"/>
    <n v="0"/>
    <n v="0"/>
    <n v="0"/>
    <n v="0"/>
    <n v="0"/>
    <n v="0"/>
    <n v="0"/>
    <n v="0"/>
    <n v="0"/>
  </r>
  <r>
    <n v="709544"/>
    <s v="Campanha A"/>
    <x v="1"/>
    <x v="0"/>
    <x v="4"/>
    <n v="7440"/>
    <n v="2"/>
    <n v="2.9800000190000002"/>
    <n v="2"/>
    <n v="170"/>
    <n v="167.01999998100001"/>
    <n v="2.6881720430107527E-4"/>
    <n v="1"/>
    <n v="1.4900000095000001"/>
    <n v="1.4900000095000001"/>
    <n v="56.04697950204946"/>
  </r>
  <r>
    <n v="709614"/>
    <s v="Campanha A"/>
    <x v="2"/>
    <x v="0"/>
    <x v="1"/>
    <n v="19113"/>
    <n v="4"/>
    <n v="5.5200000999999999"/>
    <n v="1"/>
    <n v="85"/>
    <n v="79.479999899999996"/>
    <n v="2.0928164076806363E-4"/>
    <n v="0.25"/>
    <n v="1.380000025"/>
    <n v="5.5200000999999999"/>
    <n v="14.398550445678433"/>
  </r>
  <r>
    <n v="709756"/>
    <s v="Campanha A"/>
    <x v="2"/>
    <x v="0"/>
    <x v="1"/>
    <n v="10976"/>
    <n v="2"/>
    <n v="1.690000057"/>
    <n v="2"/>
    <n v="170"/>
    <n v="168.30999994300001"/>
    <n v="1.8221574344023323E-4"/>
    <n v="1"/>
    <n v="0.8450000285"/>
    <n v="0.8450000285"/>
    <n v="99.591712583593136"/>
  </r>
  <r>
    <n v="709761"/>
    <s v="Campanha A"/>
    <x v="2"/>
    <x v="0"/>
    <x v="1"/>
    <n v="2861"/>
    <n v="0"/>
    <n v="0"/>
    <n v="0"/>
    <n v="0"/>
    <n v="0"/>
    <n v="0"/>
    <n v="0"/>
    <n v="0"/>
    <n v="0"/>
    <n v="0"/>
  </r>
  <r>
    <n v="709899"/>
    <s v="Campanha A"/>
    <x v="2"/>
    <x v="0"/>
    <x v="0"/>
    <n v="1398"/>
    <n v="0"/>
    <n v="0"/>
    <n v="0"/>
    <n v="0"/>
    <n v="0"/>
    <n v="0"/>
    <n v="0"/>
    <n v="0"/>
    <n v="0"/>
    <n v="0"/>
  </r>
  <r>
    <n v="709901"/>
    <s v="Campanha A"/>
    <x v="2"/>
    <x v="0"/>
    <x v="1"/>
    <n v="23817"/>
    <n v="7"/>
    <n v="8.4700001480000005"/>
    <n v="2"/>
    <n v="170"/>
    <n v="161.529999852"/>
    <n v="2.9390771297812488E-4"/>
    <n v="0.28999999999999998"/>
    <n v="1.2100000211428572"/>
    <n v="4.2350000740000002"/>
    <n v="19.07083790194994"/>
  </r>
  <r>
    <n v="710045"/>
    <s v="Campanha A"/>
    <x v="3"/>
    <x v="0"/>
    <x v="1"/>
    <n v="47224"/>
    <n v="12"/>
    <n v="15.82000017"/>
    <n v="1"/>
    <n v="85"/>
    <n v="69.17999983"/>
    <n v="2.5410808063696424E-4"/>
    <n v="0.08"/>
    <n v="1.3183333475000001"/>
    <n v="15.82000017"/>
    <n v="4.3729455806952746"/>
  </r>
  <r>
    <n v="710088"/>
    <s v="Campanha A"/>
    <x v="3"/>
    <x v="0"/>
    <x v="9"/>
    <n v="2283"/>
    <n v="1"/>
    <n v="1.4700000289999999"/>
    <n v="1"/>
    <n v="85"/>
    <n v="83.529999970999995"/>
    <n v="4.3802014892685063E-4"/>
    <n v="1"/>
    <n v="1.4700000289999999"/>
    <n v="1.4700000289999999"/>
    <n v="56.823128110972299"/>
  </r>
  <r>
    <n v="710360"/>
    <s v="Campanha A"/>
    <x v="3"/>
    <x v="0"/>
    <x v="10"/>
    <n v="2182"/>
    <n v="1"/>
    <n v="1.5299999710000001"/>
    <n v="2"/>
    <n v="170"/>
    <n v="168.470000029"/>
    <n v="4.5829514207149406E-4"/>
    <n v="2"/>
    <n v="1.5299999710000001"/>
    <n v="0.76499998550000003"/>
    <n v="110.11111321713875"/>
  </r>
  <r>
    <n v="710477"/>
    <s v="Campanha A"/>
    <x v="0"/>
    <x v="1"/>
    <x v="1"/>
    <n v="2654"/>
    <n v="0"/>
    <n v="0"/>
    <n v="0"/>
    <n v="0"/>
    <n v="0"/>
    <n v="0"/>
    <n v="0"/>
    <n v="0"/>
    <n v="0"/>
    <n v="0"/>
  </r>
  <r>
    <n v="710480"/>
    <s v="Campanha A"/>
    <x v="0"/>
    <x v="1"/>
    <x v="1"/>
    <n v="57665"/>
    <n v="14"/>
    <n v="18.06999969"/>
    <n v="2"/>
    <n v="170"/>
    <n v="151.93000031"/>
    <n v="2.4278158328275385E-4"/>
    <n v="0.14000000000000001"/>
    <n v="1.2907142635714286"/>
    <n v="9.0349998449999998"/>
    <n v="8.4078584901182136"/>
  </r>
  <r>
    <n v="710571"/>
    <s v="Campanha A"/>
    <x v="0"/>
    <x v="1"/>
    <x v="11"/>
    <n v="3091"/>
    <n v="1"/>
    <n v="1.6100000139999999"/>
    <n v="2"/>
    <n v="170"/>
    <n v="168.38999998599999"/>
    <n v="3.2351989647363315E-4"/>
    <n v="2"/>
    <n v="1.6100000139999999"/>
    <n v="0.80500000699999996"/>
    <n v="104.59006119362679"/>
  </r>
  <r>
    <n v="710617"/>
    <s v="Campanha A"/>
    <x v="0"/>
    <x v="1"/>
    <x v="0"/>
    <n v="5014"/>
    <n v="1"/>
    <n v="1.190000057"/>
    <n v="1"/>
    <n v="85"/>
    <n v="83.809999942999994"/>
    <n v="1.9944156362185878E-4"/>
    <n v="1"/>
    <n v="1.190000057"/>
    <n v="1.190000057"/>
    <n v="70.42856800720304"/>
  </r>
  <r>
    <n v="710623"/>
    <s v="Campanha A"/>
    <x v="0"/>
    <x v="1"/>
    <x v="1"/>
    <n v="38726"/>
    <n v="7"/>
    <n v="9.2200002669999996"/>
    <n v="1"/>
    <n v="85"/>
    <n v="75.779999732999997"/>
    <n v="1.8075711408356142E-4"/>
    <n v="0.14000000000000001"/>
    <n v="1.3171428952857143"/>
    <n v="9.2200002669999996"/>
    <n v="8.2190886701196657"/>
  </r>
  <r>
    <n v="710628"/>
    <s v="Campanha A"/>
    <x v="0"/>
    <x v="1"/>
    <x v="12"/>
    <n v="1473"/>
    <n v="0"/>
    <n v="0"/>
    <n v="0"/>
    <n v="0"/>
    <n v="0"/>
    <n v="0"/>
    <n v="0"/>
    <n v="0"/>
    <n v="0"/>
    <n v="0"/>
  </r>
  <r>
    <n v="710682"/>
    <s v="Campanha A"/>
    <x v="0"/>
    <x v="1"/>
    <x v="5"/>
    <n v="1186"/>
    <n v="0"/>
    <n v="0"/>
    <n v="0"/>
    <n v="0"/>
    <n v="0"/>
    <n v="0"/>
    <n v="0"/>
    <n v="0"/>
    <n v="0"/>
    <n v="0"/>
  </r>
  <r>
    <n v="710763"/>
    <s v="Campanha A"/>
    <x v="0"/>
    <x v="1"/>
    <x v="0"/>
    <n v="5369"/>
    <n v="1"/>
    <n v="1.5099999900000001"/>
    <n v="1"/>
    <n v="85"/>
    <n v="83.490000010000003"/>
    <n v="1.8625442354255913E-4"/>
    <n v="1"/>
    <n v="1.5099999900000001"/>
    <n v="1.5099999900000001"/>
    <n v="55.291391101267493"/>
  </r>
  <r>
    <n v="710836"/>
    <s v="Campanha A"/>
    <x v="0"/>
    <x v="1"/>
    <x v="4"/>
    <n v="22221"/>
    <n v="7"/>
    <n v="9.4300000669999999"/>
    <n v="2"/>
    <n v="170"/>
    <n v="160.56999993299999"/>
    <n v="3.1501732595292742E-4"/>
    <n v="0.28999999999999998"/>
    <n v="1.3471428667142857"/>
    <n v="4.7150000335"/>
    <n v="17.027571451978016"/>
  </r>
  <r>
    <n v="710867"/>
    <s v="Campanha A"/>
    <x v="0"/>
    <x v="1"/>
    <x v="13"/>
    <n v="1185"/>
    <n v="0"/>
    <n v="0"/>
    <n v="0"/>
    <n v="0"/>
    <n v="0"/>
    <n v="0"/>
    <n v="0"/>
    <n v="0"/>
    <n v="0"/>
    <n v="0"/>
  </r>
  <r>
    <n v="710880"/>
    <s v="Campanha A"/>
    <x v="0"/>
    <x v="1"/>
    <x v="14"/>
    <n v="13019"/>
    <n v="5"/>
    <n v="6.9600000380000004"/>
    <n v="1"/>
    <n v="85"/>
    <n v="78.039999961999996"/>
    <n v="3.8405407481373376E-4"/>
    <n v="0.2"/>
    <n v="1.3920000076000001"/>
    <n v="6.9600000380000004"/>
    <n v="11.212643611482692"/>
  </r>
  <r>
    <n v="710961"/>
    <s v="Campanha A"/>
    <x v="1"/>
    <x v="1"/>
    <x v="15"/>
    <n v="2508"/>
    <n v="1"/>
    <n v="1.2200000289999999"/>
    <n v="1"/>
    <n v="85"/>
    <n v="83.779999970999995"/>
    <n v="3.9872408293460925E-4"/>
    <n v="1"/>
    <n v="1.2200000289999999"/>
    <n v="1.2200000289999999"/>
    <n v="68.672129491400199"/>
  </r>
  <r>
    <n v="710968"/>
    <s v="Campanha A"/>
    <x v="1"/>
    <x v="1"/>
    <x v="5"/>
    <n v="5864"/>
    <n v="2"/>
    <n v="2.7999999519999998"/>
    <n v="2"/>
    <n v="170"/>
    <n v="167.20000004799999"/>
    <n v="3.4106412005457026E-4"/>
    <n v="1"/>
    <n v="1.3999999759999999"/>
    <n v="1.3999999759999999"/>
    <n v="59.714286755102059"/>
  </r>
  <r>
    <n v="711217"/>
    <s v="Campanha A"/>
    <x v="1"/>
    <x v="1"/>
    <x v="2"/>
    <n v="2783"/>
    <n v="1"/>
    <n v="1.6000000240000001"/>
    <n v="1"/>
    <n v="85"/>
    <n v="83.399999976000004"/>
    <n v="3.5932446999640676E-4"/>
    <n v="1"/>
    <n v="1.6000000240000001"/>
    <n v="1.6000000240000001"/>
    <n v="52.124999203125014"/>
  </r>
  <r>
    <n v="711623"/>
    <s v="Campanha A"/>
    <x v="2"/>
    <x v="1"/>
    <x v="0"/>
    <n v="3812"/>
    <n v="1"/>
    <n v="1.1299999949999999"/>
    <n v="3"/>
    <n v="255"/>
    <n v="253.87000000500001"/>
    <n v="2.6232948583420777E-4"/>
    <n v="3"/>
    <n v="1.1299999949999999"/>
    <n v="0.37666666499999996"/>
    <n v="224.66371781267134"/>
  </r>
  <r>
    <n v="711764"/>
    <s v="Campanha A"/>
    <x v="3"/>
    <x v="1"/>
    <x v="16"/>
    <n v="11199"/>
    <n v="4"/>
    <n v="5.7300000190000002"/>
    <n v="2"/>
    <n v="170"/>
    <n v="164.26999998100001"/>
    <n v="3.5717474774533438E-4"/>
    <n v="0.5"/>
    <n v="1.4325000047500001"/>
    <n v="2.8650000095000001"/>
    <n v="28.668411768987816"/>
  </r>
  <r>
    <n v="711785"/>
    <s v="Campanha A"/>
    <x v="3"/>
    <x v="1"/>
    <x v="17"/>
    <n v="292"/>
    <n v="0"/>
    <n v="0"/>
    <n v="0"/>
    <n v="0"/>
    <n v="0"/>
    <n v="0"/>
    <n v="0"/>
    <n v="0"/>
    <n v="0"/>
    <n v="0"/>
  </r>
  <r>
    <n v="711877"/>
    <s v="Campanha A"/>
    <x v="3"/>
    <x v="1"/>
    <x v="13"/>
    <n v="17572"/>
    <n v="7"/>
    <n v="9.3799999950000004"/>
    <n v="1"/>
    <n v="85"/>
    <n v="75.620000004999994"/>
    <n v="3.9836102890962894E-4"/>
    <n v="0.14000000000000001"/>
    <n v="1.3399999992857143"/>
    <n v="9.3799999950000004"/>
    <n v="8.0618336935297616"/>
  </r>
  <r>
    <n v="712052"/>
    <s v="Campanha A"/>
    <x v="3"/>
    <x v="1"/>
    <x v="16"/>
    <n v="1448"/>
    <n v="0"/>
    <n v="0"/>
    <n v="0"/>
    <n v="0"/>
    <n v="0"/>
    <n v="0"/>
    <n v="0"/>
    <n v="0"/>
    <n v="0"/>
    <n v="0"/>
  </r>
  <r>
    <n v="734209"/>
    <s v="Campanha B"/>
    <x v="0"/>
    <x v="0"/>
    <x v="16"/>
    <n v="1772"/>
    <n v="0"/>
    <n v="0"/>
    <n v="0"/>
    <n v="0"/>
    <n v="0"/>
    <n v="0"/>
    <n v="0"/>
    <n v="0"/>
    <n v="0"/>
    <n v="0"/>
  </r>
  <r>
    <n v="734210"/>
    <s v="Campanha B"/>
    <x v="0"/>
    <x v="0"/>
    <x v="16"/>
    <n v="13329"/>
    <n v="4"/>
    <n v="5.6299999950000004"/>
    <n v="2"/>
    <n v="170"/>
    <n v="164.37000000500001"/>
    <n v="3.0009753169780176E-4"/>
    <n v="0.5"/>
    <n v="1.4074999987500001"/>
    <n v="2.8149999975000002"/>
    <n v="29.195381909587372"/>
  </r>
  <r>
    <n v="734215"/>
    <s v="Campanha B"/>
    <x v="0"/>
    <x v="0"/>
    <x v="0"/>
    <n v="13659"/>
    <n v="3"/>
    <n v="3.8400000329999999"/>
    <n v="1"/>
    <n v="85"/>
    <n v="81.159999967000005"/>
    <n v="2.1963540522732265E-4"/>
    <n v="0.33"/>
    <n v="1.280000011"/>
    <n v="3.8400000329999999"/>
    <n v="21.135416476440433"/>
  </r>
  <r>
    <n v="734243"/>
    <s v="Campanha B"/>
    <x v="0"/>
    <x v="0"/>
    <x v="10"/>
    <n v="739"/>
    <n v="0"/>
    <n v="0"/>
    <n v="0"/>
    <n v="0"/>
    <n v="0"/>
    <n v="0"/>
    <n v="0"/>
    <n v="0"/>
    <n v="0"/>
    <n v="0"/>
  </r>
  <r>
    <n v="734266"/>
    <s v="Campanha B"/>
    <x v="0"/>
    <x v="0"/>
    <x v="15"/>
    <n v="605"/>
    <n v="0"/>
    <n v="0"/>
    <n v="0"/>
    <n v="0"/>
    <n v="0"/>
    <n v="0"/>
    <n v="0"/>
    <n v="0"/>
    <n v="0"/>
    <n v="0"/>
  </r>
  <r>
    <n v="734272"/>
    <s v="Campanha B"/>
    <x v="0"/>
    <x v="0"/>
    <x v="18"/>
    <n v="1030"/>
    <n v="0"/>
    <n v="0"/>
    <n v="0"/>
    <n v="0"/>
    <n v="0"/>
    <n v="0"/>
    <n v="0"/>
    <n v="0"/>
    <n v="0"/>
    <n v="0"/>
  </r>
  <r>
    <n v="734290"/>
    <s v="Campanha B"/>
    <x v="0"/>
    <x v="0"/>
    <x v="4"/>
    <n v="5374"/>
    <n v="1"/>
    <n v="1.039999962"/>
    <n v="4"/>
    <n v="340"/>
    <n v="338.96000003799998"/>
    <n v="1.8608113137327876E-4"/>
    <n v="4"/>
    <n v="1.039999962"/>
    <n v="0.2599999905"/>
    <n v="325.9230888683436"/>
  </r>
  <r>
    <n v="734313"/>
    <s v="Campanha B"/>
    <x v="0"/>
    <x v="0"/>
    <x v="19"/>
    <n v="790"/>
    <n v="0"/>
    <n v="0"/>
    <n v="0"/>
    <n v="0"/>
    <n v="0"/>
    <n v="0"/>
    <n v="0"/>
    <n v="0"/>
    <n v="0"/>
    <n v="0"/>
  </r>
  <r>
    <n v="734314"/>
    <s v="Campanha B"/>
    <x v="0"/>
    <x v="0"/>
    <x v="19"/>
    <n v="962"/>
    <n v="0"/>
    <n v="0"/>
    <n v="0"/>
    <n v="0"/>
    <n v="0"/>
    <n v="0"/>
    <n v="0"/>
    <n v="0"/>
    <n v="0"/>
    <n v="0"/>
  </r>
  <r>
    <n v="734352"/>
    <s v="Campanha B"/>
    <x v="1"/>
    <x v="0"/>
    <x v="16"/>
    <n v="4423"/>
    <n v="1"/>
    <n v="1.460000038"/>
    <n v="2"/>
    <n v="170"/>
    <n v="168.539999962"/>
    <n v="2.2609088853719196E-4"/>
    <n v="2"/>
    <n v="1.460000038"/>
    <n v="0.730000019"/>
    <n v="115.43835313379628"/>
  </r>
  <r>
    <n v="734361"/>
    <s v="Campanha B"/>
    <x v="1"/>
    <x v="0"/>
    <x v="1"/>
    <n v="12382"/>
    <n v="2"/>
    <n v="2.8399999139999998"/>
    <n v="2"/>
    <n v="170"/>
    <n v="167.160000086"/>
    <n v="1.6152479405588758E-4"/>
    <n v="1"/>
    <n v="1.4199999569999999"/>
    <n v="1.4199999569999999"/>
    <n v="58.859156742213905"/>
  </r>
  <r>
    <n v="734381"/>
    <s v="Campanha B"/>
    <x v="1"/>
    <x v="0"/>
    <x v="2"/>
    <n v="2938"/>
    <n v="1"/>
    <n v="1.3500000240000001"/>
    <n v="2"/>
    <n v="170"/>
    <n v="168.649999976"/>
    <n v="3.4036759700476512E-4"/>
    <n v="2"/>
    <n v="1.3500000240000001"/>
    <n v="0.67500001200000004"/>
    <n v="124.92592368724283"/>
  </r>
  <r>
    <n v="734399"/>
    <s v="Campanha B"/>
    <x v="1"/>
    <x v="0"/>
    <x v="20"/>
    <n v="239"/>
    <n v="0"/>
    <n v="0"/>
    <n v="0"/>
    <n v="0"/>
    <n v="0"/>
    <n v="0"/>
    <n v="0"/>
    <n v="0"/>
    <n v="0"/>
    <n v="0"/>
  </r>
  <r>
    <n v="734418"/>
    <s v="Campanha B"/>
    <x v="1"/>
    <x v="0"/>
    <x v="18"/>
    <n v="591"/>
    <n v="0"/>
    <n v="0"/>
    <n v="0"/>
    <n v="0"/>
    <n v="0"/>
    <n v="0"/>
    <n v="0"/>
    <n v="0"/>
    <n v="0"/>
    <n v="0"/>
  </r>
  <r>
    <n v="734421"/>
    <s v="Campanha B"/>
    <x v="1"/>
    <x v="0"/>
    <x v="5"/>
    <n v="10332"/>
    <n v="4"/>
    <n v="5.75"/>
    <n v="1"/>
    <n v="85"/>
    <n v="79.25"/>
    <n v="3.8714672861014324E-4"/>
    <n v="0.25"/>
    <n v="1.4375"/>
    <n v="5.75"/>
    <n v="13.782608695652174"/>
  </r>
  <r>
    <n v="734427"/>
    <s v="Campanha B"/>
    <x v="1"/>
    <x v="0"/>
    <x v="3"/>
    <n v="8259"/>
    <n v="3"/>
    <n v="3.9800000190000002"/>
    <n v="1"/>
    <n v="85"/>
    <n v="81.019999980999998"/>
    <n v="3.6324010170722849E-4"/>
    <n v="0.33"/>
    <n v="1.3266666730000001"/>
    <n v="3.9800000190000002"/>
    <n v="20.356783817643493"/>
  </r>
  <r>
    <n v="734433"/>
    <s v="Campanha B"/>
    <x v="1"/>
    <x v="0"/>
    <x v="4"/>
    <n v="12158"/>
    <n v="3"/>
    <n v="4.4499999280000004"/>
    <n v="1"/>
    <n v="85"/>
    <n v="80.550000072000003"/>
    <n v="2.4675111037999672E-4"/>
    <n v="0.33"/>
    <n v="1.4833333093333334"/>
    <n v="4.4499999280000004"/>
    <n v="18.101123904557511"/>
  </r>
  <r>
    <n v="734582"/>
    <s v="Campanha B"/>
    <x v="2"/>
    <x v="0"/>
    <x v="4"/>
    <n v="7709"/>
    <n v="2"/>
    <n v="1.3200000519999999"/>
    <n v="2"/>
    <n v="170"/>
    <n v="168.67999994799999"/>
    <n v="2.5943702166299128E-4"/>
    <n v="1"/>
    <n v="0.66000002599999996"/>
    <n v="0.66000002599999996"/>
    <n v="127.78787371441709"/>
  </r>
  <r>
    <n v="734605"/>
    <s v="Campanha B"/>
    <x v="2"/>
    <x v="0"/>
    <x v="19"/>
    <n v="834"/>
    <n v="0"/>
    <n v="0"/>
    <n v="0"/>
    <n v="0"/>
    <n v="0"/>
    <n v="0"/>
    <n v="0"/>
    <n v="0"/>
    <n v="0"/>
    <n v="0"/>
  </r>
  <r>
    <n v="734660"/>
    <s v="Campanha B"/>
    <x v="3"/>
    <x v="0"/>
    <x v="12"/>
    <n v="1299"/>
    <n v="0"/>
    <n v="0"/>
    <n v="0"/>
    <n v="0"/>
    <n v="0"/>
    <n v="0"/>
    <n v="0"/>
    <n v="0"/>
    <n v="0"/>
    <n v="0"/>
  </r>
  <r>
    <n v="734666"/>
    <s v="Campanha B"/>
    <x v="3"/>
    <x v="0"/>
    <x v="17"/>
    <n v="371"/>
    <n v="0"/>
    <n v="0"/>
    <n v="0"/>
    <n v="0"/>
    <n v="0"/>
    <n v="0"/>
    <n v="0"/>
    <n v="0"/>
    <n v="0"/>
    <n v="0"/>
  </r>
  <r>
    <n v="734726"/>
    <s v="Campanha B"/>
    <x v="3"/>
    <x v="0"/>
    <x v="4"/>
    <n v="10466"/>
    <n v="3"/>
    <n v="4.0900000329999999"/>
    <n v="1"/>
    <n v="85"/>
    <n v="80.909999967000005"/>
    <n v="2.866424613032677E-4"/>
    <n v="0.33"/>
    <n v="1.3633333443333333"/>
    <n v="4.0900000329999999"/>
    <n v="19.782395920337638"/>
  </r>
  <r>
    <n v="734737"/>
    <s v="Campanha B"/>
    <x v="3"/>
    <x v="0"/>
    <x v="6"/>
    <n v="839"/>
    <n v="0"/>
    <n v="0"/>
    <n v="0"/>
    <n v="0"/>
    <n v="0"/>
    <n v="0"/>
    <n v="0"/>
    <n v="0"/>
    <n v="0"/>
    <n v="0"/>
  </r>
  <r>
    <n v="734785"/>
    <s v="Campanha B"/>
    <x v="0"/>
    <x v="1"/>
    <x v="16"/>
    <n v="5576"/>
    <n v="1"/>
    <n v="1.5299999710000001"/>
    <n v="2"/>
    <n v="170"/>
    <n v="168.470000029"/>
    <n v="1.793400286944046E-4"/>
    <n v="2"/>
    <n v="1.5299999710000001"/>
    <n v="0.76499998550000003"/>
    <n v="110.11111321713875"/>
  </r>
  <r>
    <n v="734794"/>
    <s v="Campanha B"/>
    <x v="0"/>
    <x v="1"/>
    <x v="1"/>
    <n v="4010"/>
    <n v="0"/>
    <n v="0"/>
    <n v="0"/>
    <n v="0"/>
    <n v="0"/>
    <n v="0"/>
    <n v="0"/>
    <n v="0"/>
    <n v="0"/>
    <n v="0"/>
  </r>
  <r>
    <n v="734796"/>
    <s v="Campanha B"/>
    <x v="0"/>
    <x v="1"/>
    <x v="1"/>
    <n v="39337"/>
    <n v="7"/>
    <n v="10.03000009"/>
    <n v="2"/>
    <n v="170"/>
    <n v="159.96999991000001"/>
    <n v="1.7794951318097466E-4"/>
    <n v="0.28999999999999998"/>
    <n v="1.4328571557142857"/>
    <n v="5.0150000449999999"/>
    <n v="15.94915239028677"/>
  </r>
  <r>
    <n v="734800"/>
    <s v="Campanha B"/>
    <x v="0"/>
    <x v="1"/>
    <x v="12"/>
    <n v="1635"/>
    <n v="0"/>
    <n v="0"/>
    <n v="0"/>
    <n v="0"/>
    <n v="0"/>
    <n v="0"/>
    <n v="0"/>
    <n v="0"/>
    <n v="0"/>
    <n v="0"/>
  </r>
  <r>
    <n v="734803"/>
    <s v="Campanha B"/>
    <x v="0"/>
    <x v="1"/>
    <x v="12"/>
    <n v="1631"/>
    <n v="0"/>
    <n v="0"/>
    <n v="0"/>
    <n v="0"/>
    <n v="0"/>
    <n v="0"/>
    <n v="0"/>
    <n v="0"/>
    <n v="0"/>
    <n v="0"/>
  </r>
  <r>
    <n v="734852"/>
    <s v="Campanha B"/>
    <x v="0"/>
    <x v="1"/>
    <x v="18"/>
    <n v="13479"/>
    <n v="3"/>
    <n v="4.25"/>
    <n v="1"/>
    <n v="85"/>
    <n v="80.75"/>
    <n v="2.2256843979523704E-4"/>
    <n v="0.33"/>
    <n v="1.4166666666666667"/>
    <n v="4.25"/>
    <n v="19"/>
  </r>
  <r>
    <n v="734854"/>
    <s v="Campanha B"/>
    <x v="0"/>
    <x v="1"/>
    <x v="5"/>
    <n v="57022"/>
    <n v="13"/>
    <n v="20.290000320000001"/>
    <n v="6"/>
    <n v="510"/>
    <n v="489.70999968000001"/>
    <n v="2.2798218231559749E-4"/>
    <n v="0.46"/>
    <n v="1.5607692553846155"/>
    <n v="3.3816667200000001"/>
    <n v="24.135534349759929"/>
  </r>
  <r>
    <n v="734856"/>
    <s v="Campanha B"/>
    <x v="0"/>
    <x v="1"/>
    <x v="5"/>
    <n v="5453"/>
    <n v="1"/>
    <n v="1.3899999860000001"/>
    <n v="2"/>
    <n v="170"/>
    <n v="168.61000001400001"/>
    <n v="1.8338529249954154E-4"/>
    <n v="2"/>
    <n v="1.3899999860000001"/>
    <n v="0.69499999300000004"/>
    <n v="121.3021595052016"/>
  </r>
  <r>
    <n v="734866"/>
    <s v="Campanha B"/>
    <x v="0"/>
    <x v="1"/>
    <x v="4"/>
    <n v="11803"/>
    <n v="3"/>
    <n v="4.4400000569999998"/>
    <n v="1"/>
    <n v="85"/>
    <n v="80.559999942999994"/>
    <n v="2.5417266796577139E-4"/>
    <n v="0.33"/>
    <n v="1.480000019"/>
    <n v="4.4400000569999998"/>
    <n v="18.144143898374729"/>
  </r>
  <r>
    <n v="734881"/>
    <s v="Campanha B"/>
    <x v="0"/>
    <x v="1"/>
    <x v="6"/>
    <n v="4259"/>
    <n v="1"/>
    <n v="1.5700000519999999"/>
    <n v="2"/>
    <n v="170"/>
    <n v="168.42999994799999"/>
    <n v="2.3479690068091102E-4"/>
    <n v="2"/>
    <n v="1.5700000519999999"/>
    <n v="0.78500002599999996"/>
    <n v="107.28025119071779"/>
  </r>
  <r>
    <n v="734901"/>
    <s v="Campanha B"/>
    <x v="0"/>
    <x v="1"/>
    <x v="21"/>
    <n v="1554"/>
    <n v="0"/>
    <n v="0"/>
    <n v="0"/>
    <n v="0"/>
    <n v="0"/>
    <n v="0"/>
    <n v="0"/>
    <n v="0"/>
    <n v="0"/>
    <n v="0"/>
  </r>
  <r>
    <n v="734903"/>
    <s v="Campanha B"/>
    <x v="0"/>
    <x v="1"/>
    <x v="21"/>
    <n v="5323"/>
    <n v="1"/>
    <n v="1.289999962"/>
    <n v="2"/>
    <n v="170"/>
    <n v="168.710000038"/>
    <n v="1.8786398647379298E-4"/>
    <n v="2"/>
    <n v="1.289999962"/>
    <n v="0.644999981"/>
    <n v="130.78294961841246"/>
  </r>
  <r>
    <n v="734925"/>
    <s v="Campanha B"/>
    <x v="1"/>
    <x v="1"/>
    <x v="16"/>
    <n v="5024"/>
    <n v="1"/>
    <n v="1.4099999670000001"/>
    <n v="2"/>
    <n v="170"/>
    <n v="168.590000033"/>
    <n v="1.9904458598726116E-4"/>
    <n v="2"/>
    <n v="1.4099999670000001"/>
    <n v="0.70499998350000004"/>
    <n v="119.56737870831452"/>
  </r>
  <r>
    <n v="734939"/>
    <s v="Campanha B"/>
    <x v="1"/>
    <x v="1"/>
    <x v="1"/>
    <n v="104648"/>
    <n v="24"/>
    <n v="33.330000040000002"/>
    <n v="6"/>
    <n v="510"/>
    <n v="476.66999995999998"/>
    <n v="2.2934026450577172E-4"/>
    <n v="0.25"/>
    <n v="1.3887500016666667"/>
    <n v="5.5550000066666669"/>
    <n v="14.301530134651628"/>
  </r>
  <r>
    <n v="734968"/>
    <s v="Campanha B"/>
    <x v="1"/>
    <x v="1"/>
    <x v="22"/>
    <n v="8504"/>
    <n v="3"/>
    <n v="3.340000093"/>
    <n v="2"/>
    <n v="170"/>
    <n v="166.65999990700001"/>
    <n v="3.5277516462841018E-4"/>
    <n v="0.67"/>
    <n v="1.1133333643333334"/>
    <n v="1.6700000465"/>
    <n v="49.898202175588985"/>
  </r>
  <r>
    <n v="734999"/>
    <s v="Campanha B"/>
    <x v="1"/>
    <x v="1"/>
    <x v="5"/>
    <n v="20277"/>
    <n v="6"/>
    <n v="8.0500000719999996"/>
    <n v="1"/>
    <n v="85"/>
    <n v="76.949999927999997"/>
    <n v="2.9590176061547566E-4"/>
    <n v="0.17"/>
    <n v="1.3416666786666667"/>
    <n v="8.0500000719999996"/>
    <n v="9.5590061167393241"/>
  </r>
  <r>
    <n v="735014"/>
    <s v="Campanha B"/>
    <x v="1"/>
    <x v="1"/>
    <x v="4"/>
    <n v="12403"/>
    <n v="4"/>
    <n v="5.2100000380000004"/>
    <n v="2"/>
    <n v="170"/>
    <n v="164.789999962"/>
    <n v="3.225026203337902E-4"/>
    <n v="0.5"/>
    <n v="1.3025000095000001"/>
    <n v="2.6050000190000002"/>
    <n v="31.62955830327769"/>
  </r>
  <r>
    <n v="735032"/>
    <s v="Campanha B"/>
    <x v="1"/>
    <x v="1"/>
    <x v="11"/>
    <n v="498"/>
    <n v="0"/>
    <n v="0"/>
    <n v="0"/>
    <n v="0"/>
    <n v="0"/>
    <n v="0"/>
    <n v="0"/>
    <n v="0"/>
    <n v="0"/>
    <n v="0"/>
  </r>
  <r>
    <n v="735033"/>
    <s v="Campanha B"/>
    <x v="1"/>
    <x v="1"/>
    <x v="19"/>
    <n v="652"/>
    <n v="0"/>
    <n v="0"/>
    <n v="0"/>
    <n v="0"/>
    <n v="0"/>
    <n v="0"/>
    <n v="0"/>
    <n v="0"/>
    <n v="0"/>
    <n v="0"/>
  </r>
  <r>
    <n v="735043"/>
    <s v="Campanha B"/>
    <x v="1"/>
    <x v="1"/>
    <x v="13"/>
    <n v="1357"/>
    <n v="0"/>
    <n v="0"/>
    <n v="0"/>
    <n v="0"/>
    <n v="0"/>
    <n v="0"/>
    <n v="0"/>
    <n v="0"/>
    <n v="0"/>
    <n v="0"/>
  </r>
  <r>
    <n v="735048"/>
    <s v="Campanha B"/>
    <x v="1"/>
    <x v="1"/>
    <x v="21"/>
    <n v="1393"/>
    <n v="0"/>
    <n v="0"/>
    <n v="0"/>
    <n v="0"/>
    <n v="0"/>
    <n v="0"/>
    <n v="0"/>
    <n v="0"/>
    <n v="0"/>
    <n v="0"/>
  </r>
  <r>
    <n v="735065"/>
    <s v="Campanha B"/>
    <x v="2"/>
    <x v="1"/>
    <x v="7"/>
    <n v="648"/>
    <n v="0"/>
    <n v="0"/>
    <n v="0"/>
    <n v="0"/>
    <n v="0"/>
    <n v="0"/>
    <n v="0"/>
    <n v="0"/>
    <n v="0"/>
    <n v="0"/>
  </r>
  <r>
    <n v="735109"/>
    <s v="Campanha B"/>
    <x v="2"/>
    <x v="1"/>
    <x v="10"/>
    <n v="708"/>
    <n v="0"/>
    <n v="0"/>
    <n v="0"/>
    <n v="0"/>
    <n v="0"/>
    <n v="0"/>
    <n v="0"/>
    <n v="0"/>
    <n v="0"/>
    <n v="0"/>
  </r>
  <r>
    <n v="735140"/>
    <s v="Campanha B"/>
    <x v="2"/>
    <x v="1"/>
    <x v="18"/>
    <n v="6907"/>
    <n v="2"/>
    <n v="2.3499999640000002"/>
    <n v="1"/>
    <n v="85"/>
    <n v="82.650000035999994"/>
    <n v="2.895613146083683E-4"/>
    <n v="0.5"/>
    <n v="1.1749999820000001"/>
    <n v="2.3499999640000002"/>
    <n v="35.170213320054323"/>
  </r>
  <r>
    <n v="735143"/>
    <s v="Campanha B"/>
    <x v="2"/>
    <x v="1"/>
    <x v="5"/>
    <n v="39035"/>
    <n v="13"/>
    <n v="19.329999569999998"/>
    <n v="1"/>
    <n v="85"/>
    <n v="65.670000430000002"/>
    <n v="3.330344562572051E-4"/>
    <n v="0.08"/>
    <n v="1.4869230438461538"/>
    <n v="19.329999569999998"/>
    <n v="3.3973099788330727"/>
  </r>
  <r>
    <n v="735151"/>
    <s v="Campanha B"/>
    <x v="2"/>
    <x v="1"/>
    <x v="3"/>
    <n v="926"/>
    <n v="0"/>
    <n v="0"/>
    <n v="0"/>
    <n v="0"/>
    <n v="0"/>
    <n v="0"/>
    <n v="0"/>
    <n v="0"/>
    <n v="0"/>
    <n v="0"/>
  </r>
  <r>
    <n v="735184"/>
    <s v="Campanha B"/>
    <x v="2"/>
    <x v="1"/>
    <x v="13"/>
    <n v="4412"/>
    <n v="1"/>
    <n v="1.4500000479999999"/>
    <n v="1"/>
    <n v="85"/>
    <n v="83.549999951999993"/>
    <n v="2.2665457842248413E-4"/>
    <n v="1"/>
    <n v="1.4500000479999999"/>
    <n v="1.4500000479999999"/>
    <n v="57.620687714625511"/>
  </r>
  <r>
    <n v="735189"/>
    <s v="Campanha B"/>
    <x v="2"/>
    <x v="1"/>
    <x v="21"/>
    <n v="9965"/>
    <n v="3"/>
    <n v="4.0500000719999996"/>
    <n v="1"/>
    <n v="85"/>
    <n v="80.949999927999997"/>
    <n v="3.0105368790767686E-4"/>
    <n v="0.33"/>
    <n v="1.3500000239999999"/>
    <n v="4.0500000719999996"/>
    <n v="19.987653947873806"/>
  </r>
  <r>
    <n v="735213"/>
    <s v="Campanha B"/>
    <x v="3"/>
    <x v="1"/>
    <x v="16"/>
    <n v="73634"/>
    <n v="23"/>
    <n v="32.97999978"/>
    <n v="1"/>
    <n v="85"/>
    <n v="52.02000022"/>
    <n v="3.1235570524485969E-4"/>
    <n v="0.04"/>
    <n v="1.4339130339130435"/>
    <n v="32.97999978"/>
    <n v="1.5773196048214164"/>
  </r>
  <r>
    <n v="735220"/>
    <s v="Campanha B"/>
    <x v="3"/>
    <x v="1"/>
    <x v="0"/>
    <n v="69708"/>
    <n v="20"/>
    <n v="31.28999949"/>
    <n v="1"/>
    <n v="85"/>
    <n v="53.71000051"/>
    <n v="2.8691111493659262E-4"/>
    <n v="0.05"/>
    <n v="1.5644999744999999"/>
    <n v="31.28999949"/>
    <n v="1.7165228950280178"/>
  </r>
  <r>
    <n v="735242"/>
    <s v="Campanha B"/>
    <x v="3"/>
    <x v="1"/>
    <x v="17"/>
    <n v="530"/>
    <n v="0"/>
    <n v="0"/>
    <n v="0"/>
    <n v="0"/>
    <n v="0"/>
    <n v="0"/>
    <n v="0"/>
    <n v="0"/>
    <n v="0"/>
    <n v="0"/>
  </r>
  <r>
    <n v="735247"/>
    <s v="Campanha B"/>
    <x v="3"/>
    <x v="1"/>
    <x v="2"/>
    <n v="14257"/>
    <n v="6"/>
    <n v="8.7899999619999996"/>
    <n v="1"/>
    <n v="85"/>
    <n v="76.210000038000004"/>
    <n v="4.2084590025952165E-4"/>
    <n v="0.17"/>
    <n v="1.4649999936666667"/>
    <n v="8.7899999619999996"/>
    <n v="8.670079677754611"/>
  </r>
  <r>
    <n v="735289"/>
    <s v="Campanha B"/>
    <x v="3"/>
    <x v="1"/>
    <x v="5"/>
    <n v="20362"/>
    <n v="5"/>
    <n v="9.1199998860000004"/>
    <n v="2"/>
    <n v="170"/>
    <n v="160.88000011400001"/>
    <n v="2.4555544641980157E-4"/>
    <n v="0.4"/>
    <n v="1.8239999772000002"/>
    <n v="4.5599999430000002"/>
    <n v="17.640351110197372"/>
  </r>
  <r>
    <n v="735290"/>
    <s v="Campanha B"/>
    <x v="3"/>
    <x v="1"/>
    <x v="5"/>
    <n v="12215"/>
    <n v="4"/>
    <n v="6.26000011"/>
    <n v="1"/>
    <n v="85"/>
    <n v="78.739999890000007"/>
    <n v="3.2746623004502659E-4"/>
    <n v="0.25"/>
    <n v="1.5650000275"/>
    <n v="6.26000011"/>
    <n v="12.57827452178751"/>
  </r>
  <r>
    <n v="735298"/>
    <s v="Campanha B"/>
    <x v="3"/>
    <x v="1"/>
    <x v="4"/>
    <n v="85412"/>
    <n v="28"/>
    <n v="38.63999999"/>
    <n v="3"/>
    <n v="255"/>
    <n v="216.36000000999999"/>
    <n v="3.2782278836697421E-4"/>
    <n v="0.11"/>
    <n v="1.3799999996428571"/>
    <n v="12.879999996666667"/>
    <n v="5.5993788836954916"/>
  </r>
  <r>
    <n v="736869"/>
    <s v="Campanha B"/>
    <x v="0"/>
    <x v="0"/>
    <x v="23"/>
    <n v="2338"/>
    <n v="1"/>
    <n v="0.23999999499999999"/>
    <n v="1"/>
    <n v="85"/>
    <n v="84.760000004999995"/>
    <n v="4.2771599657827201E-4"/>
    <n v="1"/>
    <n v="0.23999999499999999"/>
    <n v="0.23999999499999999"/>
    <n v="353.16667404513902"/>
  </r>
  <r>
    <n v="736890"/>
    <s v="Campanha B"/>
    <x v="0"/>
    <x v="0"/>
    <x v="0"/>
    <n v="2522"/>
    <n v="0"/>
    <n v="0"/>
    <n v="0"/>
    <n v="0"/>
    <n v="0"/>
    <n v="0"/>
    <n v="0"/>
    <n v="0"/>
    <n v="0"/>
    <n v="0"/>
  </r>
  <r>
    <n v="736893"/>
    <s v="Campanha B"/>
    <x v="0"/>
    <x v="0"/>
    <x v="1"/>
    <n v="3587"/>
    <n v="0"/>
    <n v="0"/>
    <n v="0"/>
    <n v="0"/>
    <n v="0"/>
    <n v="0"/>
    <n v="0"/>
    <n v="0"/>
    <n v="0"/>
    <n v="0"/>
  </r>
  <r>
    <n v="736977"/>
    <s v="Campanha B"/>
    <x v="0"/>
    <x v="0"/>
    <x v="5"/>
    <n v="1273"/>
    <n v="0"/>
    <n v="0"/>
    <n v="0"/>
    <n v="0"/>
    <n v="0"/>
    <n v="0"/>
    <n v="0"/>
    <n v="0"/>
    <n v="0"/>
    <n v="0"/>
  </r>
  <r>
    <n v="736988"/>
    <s v="Campanha B"/>
    <x v="0"/>
    <x v="0"/>
    <x v="3"/>
    <n v="3891"/>
    <n v="1"/>
    <n v="1.0900000329999999"/>
    <n v="1"/>
    <n v="85"/>
    <n v="83.909999967000005"/>
    <n v="2.5700334104343357E-4"/>
    <n v="1"/>
    <n v="1.0900000329999999"/>
    <n v="1.0900000329999999"/>
    <n v="76.981649015234495"/>
  </r>
  <r>
    <n v="736995"/>
    <s v="Campanha B"/>
    <x v="0"/>
    <x v="0"/>
    <x v="4"/>
    <n v="1888"/>
    <n v="0"/>
    <n v="0"/>
    <n v="0"/>
    <n v="0"/>
    <n v="0"/>
    <n v="0"/>
    <n v="0"/>
    <n v="0"/>
    <n v="0"/>
    <n v="0"/>
  </r>
  <r>
    <n v="736997"/>
    <s v="Campanha B"/>
    <x v="0"/>
    <x v="0"/>
    <x v="4"/>
    <n v="1895"/>
    <n v="0"/>
    <n v="0"/>
    <n v="0"/>
    <n v="0"/>
    <n v="0"/>
    <n v="0"/>
    <n v="0"/>
    <n v="0"/>
    <n v="0"/>
    <n v="0"/>
  </r>
  <r>
    <n v="737097"/>
    <s v="Campanha B"/>
    <x v="1"/>
    <x v="0"/>
    <x v="7"/>
    <n v="715"/>
    <n v="0"/>
    <n v="0"/>
    <n v="0"/>
    <n v="0"/>
    <n v="0"/>
    <n v="0"/>
    <n v="0"/>
    <n v="0"/>
    <n v="0"/>
    <n v="0"/>
  </r>
  <r>
    <n v="737130"/>
    <s v="Campanha B"/>
    <x v="1"/>
    <x v="0"/>
    <x v="1"/>
    <n v="11199"/>
    <n v="2"/>
    <n v="2.6800000669999999"/>
    <n v="1"/>
    <n v="85"/>
    <n v="82.319999933000005"/>
    <n v="1.7858737387266719E-4"/>
    <n v="0.5"/>
    <n v="1.3400000335"/>
    <n v="2.6800000669999999"/>
    <n v="30.716417117537336"/>
  </r>
  <r>
    <n v="737320"/>
    <s v="Campanha B"/>
    <x v="1"/>
    <x v="0"/>
    <x v="13"/>
    <n v="5676"/>
    <n v="2"/>
    <n v="3.0099999899999998"/>
    <n v="1"/>
    <n v="85"/>
    <n v="81.990000010000003"/>
    <n v="3.5236081747709656E-4"/>
    <n v="0.5"/>
    <n v="1.5049999949999999"/>
    <n v="3.0099999899999998"/>
    <n v="27.23920275162526"/>
  </r>
  <r>
    <n v="737375"/>
    <s v="Campanha B"/>
    <x v="2"/>
    <x v="0"/>
    <x v="16"/>
    <n v="1415"/>
    <n v="0"/>
    <n v="0"/>
    <n v="0"/>
    <n v="0"/>
    <n v="0"/>
    <n v="0"/>
    <n v="0"/>
    <n v="0"/>
    <n v="0"/>
    <n v="0"/>
  </r>
  <r>
    <n v="737524"/>
    <s v="Campanha B"/>
    <x v="2"/>
    <x v="0"/>
    <x v="8"/>
    <n v="2148"/>
    <n v="1"/>
    <n v="1.5800000430000001"/>
    <n v="2"/>
    <n v="170"/>
    <n v="168.41999995699999"/>
    <n v="4.6554934823091247E-4"/>
    <n v="2"/>
    <n v="1.5800000430000001"/>
    <n v="0.79000002150000004"/>
    <n v="106.5949337806442"/>
  </r>
  <r>
    <n v="737644"/>
    <s v="Campanha B"/>
    <x v="3"/>
    <x v="0"/>
    <x v="1"/>
    <n v="45401"/>
    <n v="10"/>
    <n v="14.06000042"/>
    <n v="1"/>
    <n v="85"/>
    <n v="70.939999580000006"/>
    <n v="2.2025946565053632E-4"/>
    <n v="0.1"/>
    <n v="1.4060000420000001"/>
    <n v="14.06000042"/>
    <n v="5.0455190228223339"/>
  </r>
  <r>
    <n v="737657"/>
    <s v="Campanha B"/>
    <x v="3"/>
    <x v="0"/>
    <x v="12"/>
    <n v="7478"/>
    <n v="2"/>
    <n v="2.9000000950000002"/>
    <n v="2"/>
    <n v="170"/>
    <n v="167.099999905"/>
    <n v="2.6745119015779618E-4"/>
    <n v="1"/>
    <n v="1.4500000475000001"/>
    <n v="1.4500000475000001"/>
    <n v="57.620687734839535"/>
  </r>
  <r>
    <n v="737658"/>
    <s v="Campanha B"/>
    <x v="3"/>
    <x v="0"/>
    <x v="12"/>
    <n v="4919"/>
    <n v="1"/>
    <n v="1.5900000329999999"/>
    <n v="1"/>
    <n v="85"/>
    <n v="83.409999967000005"/>
    <n v="2.0329335230737954E-4"/>
    <n v="1"/>
    <n v="1.5900000329999999"/>
    <n v="1.5900000329999999"/>
    <n v="52.459118387326477"/>
  </r>
  <r>
    <n v="737674"/>
    <s v="Campanha B"/>
    <x v="3"/>
    <x v="0"/>
    <x v="2"/>
    <n v="533"/>
    <n v="0"/>
    <n v="0"/>
    <n v="0"/>
    <n v="0"/>
    <n v="0"/>
    <n v="0"/>
    <n v="0"/>
    <n v="0"/>
    <n v="0"/>
    <n v="0"/>
  </r>
  <r>
    <n v="737766"/>
    <s v="Campanha B"/>
    <x v="3"/>
    <x v="0"/>
    <x v="4"/>
    <n v="1447"/>
    <n v="0"/>
    <n v="0"/>
    <n v="0"/>
    <n v="0"/>
    <n v="0"/>
    <n v="0"/>
    <n v="0"/>
    <n v="0"/>
    <n v="0"/>
    <n v="0"/>
  </r>
  <r>
    <n v="737896"/>
    <s v="Campanha B"/>
    <x v="0"/>
    <x v="1"/>
    <x v="1"/>
    <n v="17553"/>
    <n v="3"/>
    <n v="4.5900001530000001"/>
    <n v="1"/>
    <n v="85"/>
    <n v="80.409999846999995"/>
    <n v="1.7091095539224064E-4"/>
    <n v="0.33"/>
    <n v="1.530000051"/>
    <n v="4.5900001530000001"/>
    <n v="17.518517901234588"/>
  </r>
  <r>
    <n v="737931"/>
    <s v="Campanha B"/>
    <x v="0"/>
    <x v="1"/>
    <x v="2"/>
    <n v="3343"/>
    <n v="1"/>
    <n v="0.540000021"/>
    <n v="1"/>
    <n v="85"/>
    <n v="84.459999979000003"/>
    <n v="2.9913251570445708E-4"/>
    <n v="1"/>
    <n v="0.540000021"/>
    <n v="0.540000021"/>
    <n v="156.40740128600848"/>
  </r>
  <r>
    <n v="737961"/>
    <s v="Campanha B"/>
    <x v="0"/>
    <x v="1"/>
    <x v="20"/>
    <n v="523"/>
    <n v="0"/>
    <n v="0"/>
    <n v="0"/>
    <n v="0"/>
    <n v="0"/>
    <n v="0"/>
    <n v="0"/>
    <n v="0"/>
    <n v="0"/>
    <n v="0"/>
  </r>
  <r>
    <n v="737995"/>
    <s v="Campanha B"/>
    <x v="0"/>
    <x v="1"/>
    <x v="18"/>
    <n v="1873"/>
    <n v="0"/>
    <n v="0"/>
    <n v="0"/>
    <n v="0"/>
    <n v="0"/>
    <n v="0"/>
    <n v="0"/>
    <n v="0"/>
    <n v="0"/>
    <n v="0"/>
  </r>
  <r>
    <n v="738006"/>
    <s v="Campanha B"/>
    <x v="0"/>
    <x v="1"/>
    <x v="5"/>
    <n v="34740"/>
    <n v="7"/>
    <n v="13.41000009"/>
    <n v="2"/>
    <n v="170"/>
    <n v="156.58999990999999"/>
    <n v="2.0149683362118595E-4"/>
    <n v="0.28999999999999998"/>
    <n v="1.9157142985714286"/>
    <n v="6.7050000450000002"/>
    <n v="11.677106551756927"/>
  </r>
  <r>
    <n v="738067"/>
    <s v="Campanha B"/>
    <x v="0"/>
    <x v="1"/>
    <x v="11"/>
    <n v="658"/>
    <n v="0"/>
    <n v="0"/>
    <n v="0"/>
    <n v="0"/>
    <n v="0"/>
    <n v="0"/>
    <n v="0"/>
    <n v="0"/>
    <n v="0"/>
    <n v="0"/>
  </r>
  <r>
    <n v="738098"/>
    <s v="Campanha B"/>
    <x v="0"/>
    <x v="1"/>
    <x v="21"/>
    <n v="1539"/>
    <n v="0"/>
    <n v="0"/>
    <n v="0"/>
    <n v="0"/>
    <n v="0"/>
    <n v="0"/>
    <n v="0"/>
    <n v="0"/>
    <n v="0"/>
    <n v="0"/>
  </r>
  <r>
    <n v="738307"/>
    <s v="Campanha B"/>
    <x v="1"/>
    <x v="1"/>
    <x v="6"/>
    <n v="3010"/>
    <n v="1"/>
    <n v="0.86000001400000003"/>
    <n v="2"/>
    <n v="170"/>
    <n v="169.13999998599999"/>
    <n v="3.3222591362126248E-4"/>
    <n v="2"/>
    <n v="0.86000001400000003"/>
    <n v="0.43000000700000002"/>
    <n v="196.67441538669556"/>
  </r>
  <r>
    <n v="738389"/>
    <s v="Campanha B"/>
    <x v="2"/>
    <x v="1"/>
    <x v="16"/>
    <n v="27081"/>
    <n v="9"/>
    <n v="10.77000046"/>
    <n v="2"/>
    <n v="170"/>
    <n v="159.22999953999999"/>
    <n v="3.3233632436025255E-4"/>
    <n v="0.22"/>
    <n v="1.1966667177777779"/>
    <n v="5.3850002300000002"/>
    <n v="14.784586141048315"/>
  </r>
  <r>
    <n v="738408"/>
    <s v="Campanha B"/>
    <x v="2"/>
    <x v="1"/>
    <x v="1"/>
    <n v="20233"/>
    <n v="4"/>
    <n v="5.5900001530000001"/>
    <n v="3"/>
    <n v="255"/>
    <n v="249.40999984699999"/>
    <n v="1.9769683190826867E-4"/>
    <n v="0.75"/>
    <n v="1.39750003825"/>
    <n v="1.8633333843333333"/>
    <n v="44.617172275594392"/>
  </r>
  <r>
    <n v="738413"/>
    <s v="Campanha B"/>
    <x v="2"/>
    <x v="1"/>
    <x v="1"/>
    <n v="147159"/>
    <n v="36"/>
    <n v="58.160000439999997"/>
    <n v="4"/>
    <n v="340"/>
    <n v="281.83999956000002"/>
    <n v="2.4463335575805763E-4"/>
    <n v="0.11"/>
    <n v="1.6155555677777778"/>
    <n v="14.540000109999999"/>
    <n v="4.8459421841091039"/>
  </r>
  <r>
    <n v="738423"/>
    <s v="Campanha B"/>
    <x v="2"/>
    <x v="1"/>
    <x v="12"/>
    <n v="21664"/>
    <n v="7"/>
    <n v="10.61999977"/>
    <n v="2"/>
    <n v="170"/>
    <n v="159.38000023000001"/>
    <n v="3.2311669128508124E-4"/>
    <n v="0.28999999999999998"/>
    <n v="1.5171428242857143"/>
    <n v="5.3099998849999999"/>
    <n v="15.007533303364658"/>
  </r>
  <r>
    <n v="738436"/>
    <s v="Campanha B"/>
    <x v="2"/>
    <x v="1"/>
    <x v="17"/>
    <n v="9112"/>
    <n v="4"/>
    <n v="5.4600000380000004"/>
    <n v="2"/>
    <n v="170"/>
    <n v="164.539999962"/>
    <n v="4.3898156277436348E-4"/>
    <n v="0.5"/>
    <n v="1.3650000095000001"/>
    <n v="2.7300000190000002"/>
    <n v="30.13553091883696"/>
  </r>
  <r>
    <n v="738463"/>
    <s v="Campanha B"/>
    <x v="2"/>
    <x v="1"/>
    <x v="10"/>
    <n v="542"/>
    <n v="0"/>
    <n v="0"/>
    <n v="0"/>
    <n v="0"/>
    <n v="0"/>
    <n v="0"/>
    <n v="0"/>
    <n v="0"/>
    <n v="0"/>
    <n v="0"/>
  </r>
  <r>
    <n v="738528"/>
    <s v="Campanha B"/>
    <x v="2"/>
    <x v="1"/>
    <x v="8"/>
    <n v="402"/>
    <n v="0"/>
    <n v="0"/>
    <n v="0"/>
    <n v="0"/>
    <n v="0"/>
    <n v="0"/>
    <n v="0"/>
    <n v="0"/>
    <n v="0"/>
    <n v="0"/>
  </r>
  <r>
    <n v="738560"/>
    <s v="Campanha B"/>
    <x v="2"/>
    <x v="1"/>
    <x v="21"/>
    <n v="1338"/>
    <n v="0"/>
    <n v="0"/>
    <n v="0"/>
    <n v="0"/>
    <n v="0"/>
    <n v="0"/>
    <n v="0"/>
    <n v="0"/>
    <n v="0"/>
    <n v="0"/>
  </r>
  <r>
    <n v="738582"/>
    <s v="Campanha B"/>
    <x v="3"/>
    <x v="1"/>
    <x v="16"/>
    <n v="46150"/>
    <n v="15"/>
    <n v="20.17999983"/>
    <n v="2"/>
    <n v="170"/>
    <n v="149.82000017000001"/>
    <n v="3.250270855904659E-4"/>
    <n v="0.13"/>
    <n v="1.3453333219999999"/>
    <n v="10.089999915"/>
    <n v="7.4241824297379102"/>
  </r>
  <r>
    <n v="738592"/>
    <s v="Campanha B"/>
    <x v="3"/>
    <x v="1"/>
    <x v="1"/>
    <n v="493821"/>
    <n v="116"/>
    <n v="176.37999769999999"/>
    <n v="5"/>
    <n v="425"/>
    <n v="248.62000230000001"/>
    <n v="2.3490293041405691E-4"/>
    <n v="0.04"/>
    <n v="1.520517221551724"/>
    <n v="35.275999540000001"/>
    <n v="1.4095702774805061"/>
  </r>
  <r>
    <n v="738593"/>
    <s v="Campanha B"/>
    <x v="3"/>
    <x v="1"/>
    <x v="1"/>
    <n v="92011"/>
    <n v="27"/>
    <n v="34.390000460000003"/>
    <n v="3"/>
    <n v="255"/>
    <n v="220.60999953999999"/>
    <n v="2.9344317527252176E-4"/>
    <n v="0.11"/>
    <n v="1.2737037207407409"/>
    <n v="11.463333486666668"/>
    <n v="6.4149461061100546"/>
  </r>
  <r>
    <n v="738598"/>
    <s v="Campanha B"/>
    <x v="3"/>
    <x v="1"/>
    <x v="12"/>
    <n v="12956"/>
    <n v="4"/>
    <n v="5.4900000100000002"/>
    <n v="2"/>
    <n v="170"/>
    <n v="164.50999999000001"/>
    <n v="3.0873726458783575E-4"/>
    <n v="0.5"/>
    <n v="1.3725000025"/>
    <n v="2.7450000050000001"/>
    <n v="29.965391564726065"/>
  </r>
  <r>
    <n v="738606"/>
    <s v="Campanha B"/>
    <x v="3"/>
    <x v="1"/>
    <x v="17"/>
    <n v="529"/>
    <n v="0"/>
    <n v="0"/>
    <n v="0"/>
    <n v="0"/>
    <n v="0"/>
    <n v="0"/>
    <n v="0"/>
    <n v="0"/>
    <n v="0"/>
    <n v="0"/>
  </r>
  <r>
    <n v="738637"/>
    <s v="Campanha B"/>
    <x v="3"/>
    <x v="1"/>
    <x v="9"/>
    <n v="944"/>
    <n v="1"/>
    <n v="1.4199999569999999"/>
    <n v="1"/>
    <n v="85"/>
    <n v="83.580000042999998"/>
    <n v="1.0593220338983051E-3"/>
    <n v="1"/>
    <n v="1.4199999569999999"/>
    <n v="1.4199999569999999"/>
    <n v="58.859156742213905"/>
  </r>
  <r>
    <n v="738648"/>
    <s v="Campanha B"/>
    <x v="3"/>
    <x v="1"/>
    <x v="18"/>
    <n v="111090"/>
    <n v="38"/>
    <n v="51.97000027"/>
    <n v="6"/>
    <n v="510"/>
    <n v="458.02999972999999"/>
    <n v="3.4206499234854621E-4"/>
    <n v="0.16"/>
    <n v="1.3676315860526316"/>
    <n v="8.6616667116666672"/>
    <n v="8.8133538070116302"/>
  </r>
  <r>
    <n v="747212"/>
    <s v="Campanha B"/>
    <x v="0"/>
    <x v="0"/>
    <x v="16"/>
    <n v="7208"/>
    <n v="2"/>
    <n v="3.1900000569999998"/>
    <n v="1"/>
    <n v="85"/>
    <n v="81.809999942999994"/>
    <n v="2.7746947835738069E-4"/>
    <n v="0.5"/>
    <n v="1.5950000284999999"/>
    <n v="3.1900000569999998"/>
    <n v="25.645767548962773"/>
  </r>
  <r>
    <n v="747213"/>
    <s v="Campanha B"/>
    <x v="0"/>
    <x v="0"/>
    <x v="16"/>
    <n v="1746"/>
    <n v="0"/>
    <n v="0"/>
    <n v="0"/>
    <n v="0"/>
    <n v="0"/>
    <n v="0"/>
    <n v="0"/>
    <n v="0"/>
    <n v="0"/>
    <n v="0"/>
  </r>
  <r>
    <n v="747220"/>
    <s v="Campanha B"/>
    <x v="0"/>
    <x v="0"/>
    <x v="0"/>
    <n v="2474"/>
    <n v="0"/>
    <n v="0"/>
    <n v="0"/>
    <n v="0"/>
    <n v="0"/>
    <n v="0"/>
    <n v="0"/>
    <n v="0"/>
    <n v="0"/>
    <n v="0"/>
  </r>
  <r>
    <n v="747222"/>
    <s v="Campanha B"/>
    <x v="0"/>
    <x v="0"/>
    <x v="1"/>
    <n v="12489"/>
    <n v="2"/>
    <n v="1.960000038"/>
    <n v="1"/>
    <n v="85"/>
    <n v="83.039999961999996"/>
    <n v="1.6014092401313155E-4"/>
    <n v="0.5"/>
    <n v="0.980000019"/>
    <n v="1.960000038"/>
    <n v="42.367346097980025"/>
  </r>
  <r>
    <n v="747223"/>
    <s v="Campanha B"/>
    <x v="0"/>
    <x v="0"/>
    <x v="1"/>
    <n v="8032"/>
    <n v="1"/>
    <n v="0.60000002399999997"/>
    <n v="2"/>
    <n v="170"/>
    <n v="169.399999976"/>
    <n v="1.2450199203187251E-4"/>
    <n v="2"/>
    <n v="0.60000002399999997"/>
    <n v="0.30000001199999998"/>
    <n v="282.33332200000046"/>
  </r>
  <r>
    <n v="747248"/>
    <s v="Campanha B"/>
    <x v="0"/>
    <x v="0"/>
    <x v="10"/>
    <n v="472"/>
    <n v="0"/>
    <n v="0"/>
    <n v="0"/>
    <n v="0"/>
    <n v="0"/>
    <n v="0"/>
    <n v="0"/>
    <n v="0"/>
    <n v="0"/>
    <n v="0"/>
  </r>
  <r>
    <n v="747332"/>
    <s v="Campanha B"/>
    <x v="0"/>
    <x v="0"/>
    <x v="21"/>
    <n v="792"/>
    <n v="0"/>
    <n v="0"/>
    <n v="0"/>
    <n v="0"/>
    <n v="0"/>
    <n v="0"/>
    <n v="0"/>
    <n v="0"/>
    <n v="0"/>
    <n v="0"/>
  </r>
  <r>
    <n v="747362"/>
    <s v="Campanha B"/>
    <x v="1"/>
    <x v="0"/>
    <x v="0"/>
    <n v="4607"/>
    <n v="1"/>
    <n v="1.1499999759999999"/>
    <n v="2"/>
    <n v="170"/>
    <n v="168.850000024"/>
    <n v="2.1706099413935315E-4"/>
    <n v="2"/>
    <n v="1.1499999759999999"/>
    <n v="0.57499998799999996"/>
    <n v="146.82609004158797"/>
  </r>
  <r>
    <n v="747369"/>
    <s v="Campanha B"/>
    <x v="1"/>
    <x v="0"/>
    <x v="1"/>
    <n v="13355"/>
    <n v="2"/>
    <n v="3.1800000669999999"/>
    <n v="2"/>
    <n v="170"/>
    <n v="166.81999993299999"/>
    <n v="1.4975664545114188E-4"/>
    <n v="1"/>
    <n v="1.5900000335"/>
    <n v="1.5900000335"/>
    <n v="52.459118370515426"/>
  </r>
  <r>
    <n v="747370"/>
    <s v="Campanha B"/>
    <x v="1"/>
    <x v="0"/>
    <x v="1"/>
    <n v="2936"/>
    <n v="0"/>
    <n v="0"/>
    <n v="0"/>
    <n v="0"/>
    <n v="0"/>
    <n v="0"/>
    <n v="0"/>
    <n v="0"/>
    <n v="0"/>
    <n v="0"/>
  </r>
  <r>
    <n v="747401"/>
    <s v="Campanha B"/>
    <x v="1"/>
    <x v="0"/>
    <x v="22"/>
    <n v="2793"/>
    <n v="1"/>
    <n v="0.980000019"/>
    <n v="2"/>
    <n v="170"/>
    <n v="169.01999998100001"/>
    <n v="3.5803795202291446E-4"/>
    <n v="2"/>
    <n v="0.980000019"/>
    <n v="0.4900000095"/>
    <n v="172.4693843919201"/>
  </r>
  <r>
    <n v="747435"/>
    <s v="Campanha B"/>
    <x v="1"/>
    <x v="0"/>
    <x v="3"/>
    <n v="1032"/>
    <n v="0"/>
    <n v="0"/>
    <n v="0"/>
    <n v="0"/>
    <n v="0"/>
    <n v="0"/>
    <n v="0"/>
    <n v="0"/>
    <n v="0"/>
    <n v="0"/>
  </r>
  <r>
    <n v="747439"/>
    <s v="Campanha B"/>
    <x v="1"/>
    <x v="0"/>
    <x v="4"/>
    <n v="1662"/>
    <n v="0"/>
    <n v="0"/>
    <n v="0"/>
    <n v="0"/>
    <n v="0"/>
    <n v="0"/>
    <n v="0"/>
    <n v="0"/>
    <n v="0"/>
    <n v="0"/>
  </r>
  <r>
    <n v="747489"/>
    <s v="Campanha B"/>
    <x v="2"/>
    <x v="0"/>
    <x v="23"/>
    <n v="4016"/>
    <n v="2"/>
    <n v="1.480000049"/>
    <n v="2"/>
    <n v="170"/>
    <n v="168.51999995099999"/>
    <n v="4.9800796812749003E-4"/>
    <n v="1"/>
    <n v="0.74000002450000002"/>
    <n v="0.74000002450000002"/>
    <n v="113.86486106190661"/>
  </r>
  <r>
    <n v="747514"/>
    <s v="Campanha B"/>
    <x v="2"/>
    <x v="0"/>
    <x v="1"/>
    <n v="14843"/>
    <n v="3"/>
    <n v="2.9399999380000001"/>
    <n v="2"/>
    <n v="170"/>
    <n v="167.060000062"/>
    <n v="2.021154753082261E-4"/>
    <n v="0.67"/>
    <n v="0.97999997933333338"/>
    <n v="1.4699999690000001"/>
    <n v="56.823130471100029"/>
  </r>
  <r>
    <n v="747645"/>
    <s v="Campanha B"/>
    <x v="3"/>
    <x v="0"/>
    <x v="16"/>
    <n v="9674"/>
    <n v="3"/>
    <n v="4.6000000239999999"/>
    <n v="2"/>
    <n v="170"/>
    <n v="165.399999976"/>
    <n v="3.1010957204879059E-4"/>
    <n v="0.67"/>
    <n v="1.5333333413333332"/>
    <n v="2.3000000119999999"/>
    <n v="35.956521546313802"/>
  </r>
  <r>
    <n v="747659"/>
    <s v="Campanha B"/>
    <x v="3"/>
    <x v="0"/>
    <x v="1"/>
    <n v="12186"/>
    <n v="2"/>
    <n v="2.6699999569999999"/>
    <n v="1"/>
    <n v="85"/>
    <n v="82.330000042999998"/>
    <n v="1.6412276382734285E-4"/>
    <n v="0.5"/>
    <n v="1.3349999785"/>
    <n v="2.6699999569999999"/>
    <n v="30.83520650521119"/>
  </r>
  <r>
    <n v="747675"/>
    <s v="Campanha B"/>
    <x v="3"/>
    <x v="0"/>
    <x v="2"/>
    <n v="673"/>
    <n v="0"/>
    <n v="0"/>
    <n v="0"/>
    <n v="0"/>
    <n v="0"/>
    <n v="0"/>
    <n v="0"/>
    <n v="0"/>
    <n v="0"/>
    <n v="0"/>
  </r>
  <r>
    <n v="747678"/>
    <s v="Campanha B"/>
    <x v="3"/>
    <x v="0"/>
    <x v="10"/>
    <n v="370"/>
    <n v="0"/>
    <n v="0"/>
    <n v="0"/>
    <n v="0"/>
    <n v="0"/>
    <n v="0"/>
    <n v="0"/>
    <n v="0"/>
    <n v="0"/>
    <n v="0"/>
  </r>
  <r>
    <n v="747712"/>
    <s v="Campanha B"/>
    <x v="3"/>
    <x v="0"/>
    <x v="18"/>
    <n v="450"/>
    <n v="0"/>
    <n v="0"/>
    <n v="0"/>
    <n v="0"/>
    <n v="0"/>
    <n v="0"/>
    <n v="0"/>
    <n v="0"/>
    <n v="0"/>
    <n v="0"/>
  </r>
  <r>
    <n v="747790"/>
    <s v="Campanha B"/>
    <x v="0"/>
    <x v="1"/>
    <x v="16"/>
    <n v="2077"/>
    <n v="0"/>
    <n v="0"/>
    <n v="0"/>
    <n v="0"/>
    <n v="0"/>
    <n v="0"/>
    <n v="0"/>
    <n v="0"/>
    <n v="0"/>
    <n v="0"/>
  </r>
  <r>
    <n v="747791"/>
    <s v="Campanha B"/>
    <x v="0"/>
    <x v="1"/>
    <x v="16"/>
    <n v="31393"/>
    <n v="8"/>
    <n v="10.96000051"/>
    <n v="2"/>
    <n v="170"/>
    <n v="159.03999949000001"/>
    <n v="2.5483388016436787E-4"/>
    <n v="0.25"/>
    <n v="1.3700000637500001"/>
    <n v="5.4800002550000002"/>
    <n v="14.510948183340915"/>
  </r>
  <r>
    <n v="747795"/>
    <s v="Campanha B"/>
    <x v="0"/>
    <x v="1"/>
    <x v="0"/>
    <n v="8410"/>
    <n v="2"/>
    <n v="2.3599998950000001"/>
    <n v="2"/>
    <n v="170"/>
    <n v="167.64000010500001"/>
    <n v="2.3781212841854935E-4"/>
    <n v="1"/>
    <n v="1.1799999475"/>
    <n v="1.1799999475"/>
    <n v="71.033901509982911"/>
  </r>
  <r>
    <n v="747798"/>
    <s v="Campanha B"/>
    <x v="0"/>
    <x v="1"/>
    <x v="1"/>
    <n v="25884"/>
    <n v="5"/>
    <n v="7.3500001429999999"/>
    <n v="1"/>
    <n v="85"/>
    <n v="77.649999856999997"/>
    <n v="1.9316952557564519E-4"/>
    <n v="0.2"/>
    <n v="1.4700000285999999"/>
    <n v="7.3500001429999999"/>
    <n v="10.564625625341296"/>
  </r>
  <r>
    <n v="747824"/>
    <s v="Campanha B"/>
    <x v="0"/>
    <x v="1"/>
    <x v="10"/>
    <n v="608"/>
    <n v="0"/>
    <n v="0"/>
    <n v="0"/>
    <n v="0"/>
    <n v="0"/>
    <n v="0"/>
    <n v="0"/>
    <n v="0"/>
    <n v="0"/>
    <n v="0"/>
  </r>
  <r>
    <n v="747828"/>
    <s v="Campanha B"/>
    <x v="0"/>
    <x v="1"/>
    <x v="22"/>
    <n v="28488"/>
    <n v="10"/>
    <n v="9.3400000330000008"/>
    <n v="1"/>
    <n v="85"/>
    <n v="75.659999967000005"/>
    <n v="3.5102499297950013E-4"/>
    <n v="0.1"/>
    <n v="0.9340000033000001"/>
    <n v="9.3400000330000008"/>
    <n v="8.1006423661326341"/>
  </r>
  <r>
    <n v="747852"/>
    <s v="Campanha B"/>
    <x v="0"/>
    <x v="1"/>
    <x v="18"/>
    <n v="10126"/>
    <n v="3"/>
    <n v="4.6199998860000004"/>
    <n v="1"/>
    <n v="85"/>
    <n v="80.380000113999998"/>
    <n v="2.962670353545329E-4"/>
    <n v="0.33"/>
    <n v="1.5399999620000002"/>
    <n v="4.6199998860000004"/>
    <n v="17.398268852251654"/>
  </r>
  <r>
    <n v="747859"/>
    <s v="Campanha B"/>
    <x v="0"/>
    <x v="1"/>
    <x v="5"/>
    <n v="22572"/>
    <n v="5"/>
    <n v="8.5"/>
    <n v="1"/>
    <n v="85"/>
    <n v="76.5"/>
    <n v="2.2151337940811626E-4"/>
    <n v="0.2"/>
    <n v="1.7"/>
    <n v="8.5"/>
    <n v="9"/>
  </r>
  <r>
    <n v="747863"/>
    <s v="Campanha B"/>
    <x v="0"/>
    <x v="1"/>
    <x v="5"/>
    <n v="1955"/>
    <n v="0"/>
    <n v="0"/>
    <n v="0"/>
    <n v="0"/>
    <n v="0"/>
    <n v="0"/>
    <n v="0"/>
    <n v="0"/>
    <n v="0"/>
    <n v="0"/>
  </r>
  <r>
    <n v="747879"/>
    <s v="Campanha B"/>
    <x v="0"/>
    <x v="1"/>
    <x v="8"/>
    <n v="493"/>
    <n v="0"/>
    <n v="0"/>
    <n v="0"/>
    <n v="0"/>
    <n v="0"/>
    <n v="0"/>
    <n v="0"/>
    <n v="0"/>
    <n v="0"/>
    <n v="0"/>
  </r>
  <r>
    <n v="747903"/>
    <s v="Campanha B"/>
    <x v="0"/>
    <x v="1"/>
    <x v="13"/>
    <n v="1491"/>
    <n v="0"/>
    <n v="0"/>
    <n v="0"/>
    <n v="0"/>
    <n v="0"/>
    <n v="0"/>
    <n v="0"/>
    <n v="0"/>
    <n v="0"/>
    <n v="0"/>
  </r>
  <r>
    <n v="747911"/>
    <s v="Campanha B"/>
    <x v="0"/>
    <x v="1"/>
    <x v="21"/>
    <n v="1495"/>
    <n v="0"/>
    <n v="0"/>
    <n v="0"/>
    <n v="0"/>
    <n v="0"/>
    <n v="0"/>
    <n v="0"/>
    <n v="0"/>
    <n v="0"/>
    <n v="0"/>
  </r>
  <r>
    <n v="747968"/>
    <s v="Campanha B"/>
    <x v="1"/>
    <x v="1"/>
    <x v="10"/>
    <n v="512"/>
    <n v="0"/>
    <n v="0"/>
    <n v="0"/>
    <n v="0"/>
    <n v="0"/>
    <n v="0"/>
    <n v="0"/>
    <n v="0"/>
    <n v="0"/>
    <n v="0"/>
  </r>
  <r>
    <n v="747991"/>
    <s v="Campanha B"/>
    <x v="1"/>
    <x v="1"/>
    <x v="15"/>
    <n v="4868"/>
    <n v="2"/>
    <n v="2.420000076"/>
    <n v="1"/>
    <n v="85"/>
    <n v="82.579999924000006"/>
    <n v="4.1084634346754312E-4"/>
    <n v="0.5"/>
    <n v="1.210000038"/>
    <n v="2.420000076"/>
    <n v="34.123965839082068"/>
  </r>
  <r>
    <n v="748000"/>
    <s v="Campanha B"/>
    <x v="1"/>
    <x v="1"/>
    <x v="18"/>
    <n v="6585"/>
    <n v="2"/>
    <n v="2.9500000480000002"/>
    <n v="1"/>
    <n v="85"/>
    <n v="82.049999951999993"/>
    <n v="3.0372057706909645E-4"/>
    <n v="0.5"/>
    <n v="1.4750000240000001"/>
    <n v="2.9500000480000002"/>
    <n v="27.813558853203105"/>
  </r>
  <r>
    <n v="748007"/>
    <s v="Campanha B"/>
    <x v="1"/>
    <x v="1"/>
    <x v="5"/>
    <n v="10164"/>
    <n v="2"/>
    <n v="3.7200000289999999"/>
    <n v="2"/>
    <n v="170"/>
    <n v="166.279999971"/>
    <n v="1.9677292404565131E-4"/>
    <n v="1"/>
    <n v="1.8600000145"/>
    <n v="1.8600000145"/>
    <n v="44.698924374927742"/>
  </r>
  <r>
    <n v="748014"/>
    <s v="Campanha B"/>
    <x v="1"/>
    <x v="1"/>
    <x v="4"/>
    <n v="11182"/>
    <n v="4"/>
    <n v="4.4499998090000004"/>
    <n v="1"/>
    <n v="85"/>
    <n v="80.550000190999995"/>
    <n v="3.5771776068681808E-4"/>
    <n v="0.25"/>
    <n v="1.1124999522500001"/>
    <n v="4.4499998090000004"/>
    <n v="18.101124415351631"/>
  </r>
  <r>
    <n v="748045"/>
    <s v="Campanha B"/>
    <x v="1"/>
    <x v="1"/>
    <x v="13"/>
    <n v="1238"/>
    <n v="0"/>
    <n v="0"/>
    <n v="0"/>
    <n v="0"/>
    <n v="0"/>
    <n v="0"/>
    <n v="0"/>
    <n v="0"/>
    <n v="0"/>
    <n v="0"/>
  </r>
  <r>
    <n v="748086"/>
    <s v="Campanha B"/>
    <x v="2"/>
    <x v="1"/>
    <x v="1"/>
    <n v="34127"/>
    <n v="8"/>
    <n v="13.07000017"/>
    <n v="1"/>
    <n v="85"/>
    <n v="71.92999983"/>
    <n v="2.3441849561930435E-4"/>
    <n v="0.13"/>
    <n v="1.63375002125"/>
    <n v="13.07000017"/>
    <n v="5.5034429146453485"/>
  </r>
  <r>
    <n v="748087"/>
    <s v="Campanha B"/>
    <x v="2"/>
    <x v="1"/>
    <x v="1"/>
    <n v="29466"/>
    <n v="7"/>
    <n v="10.849999670000001"/>
    <n v="2"/>
    <n v="170"/>
    <n v="159.15000033000001"/>
    <n v="2.3756193579040251E-4"/>
    <n v="0.28999999999999998"/>
    <n v="1.5499999528571429"/>
    <n v="5.4249998350000004"/>
    <n v="14.66820324152139"/>
  </r>
  <r>
    <n v="748089"/>
    <s v="Campanha B"/>
    <x v="2"/>
    <x v="1"/>
    <x v="1"/>
    <n v="38759"/>
    <n v="9"/>
    <n v="10.849999670000001"/>
    <n v="1"/>
    <n v="85"/>
    <n v="74.150000329999997"/>
    <n v="2.3220413323357157E-4"/>
    <n v="0.11"/>
    <n v="1.2055555188888889"/>
    <n v="10.849999670000001"/>
    <n v="6.8341016207606939"/>
  </r>
  <r>
    <n v="748091"/>
    <s v="Campanha B"/>
    <x v="2"/>
    <x v="1"/>
    <x v="1"/>
    <n v="41720"/>
    <n v="10"/>
    <n v="12.06000006"/>
    <n v="2"/>
    <n v="170"/>
    <n v="157.93999994000001"/>
    <n v="2.3969319271332693E-4"/>
    <n v="0.2"/>
    <n v="1.206000006"/>
    <n v="6.0300000300000001"/>
    <n v="13.096185667846505"/>
  </r>
  <r>
    <n v="748225"/>
    <s v="Campanha B"/>
    <x v="3"/>
    <x v="1"/>
    <x v="0"/>
    <n v="18602"/>
    <n v="5"/>
    <n v="8.8600001339999999"/>
    <n v="1"/>
    <n v="85"/>
    <n v="76.139999865999997"/>
    <n v="2.6878830233308245E-4"/>
    <n v="0.2"/>
    <n v="1.7720000268"/>
    <n v="8.8600001339999999"/>
    <n v="8.5936793131429994"/>
  </r>
  <r>
    <n v="748230"/>
    <s v="Campanha B"/>
    <x v="3"/>
    <x v="1"/>
    <x v="1"/>
    <n v="83929"/>
    <n v="21"/>
    <n v="27.729999540000001"/>
    <n v="5"/>
    <n v="425"/>
    <n v="397.27000046000001"/>
    <n v="2.5021148828176194E-4"/>
    <n v="0.24"/>
    <n v="1.3204761685714286"/>
    <n v="5.5459999080000006"/>
    <n v="14.326361595749237"/>
  </r>
  <r>
    <n v="748231"/>
    <s v="Campanha B"/>
    <x v="3"/>
    <x v="1"/>
    <x v="1"/>
    <n v="25194"/>
    <n v="6"/>
    <n v="7.3499999049999998"/>
    <n v="1"/>
    <n v="85"/>
    <n v="77.650000094999996"/>
    <n v="2.3815194093831864E-4"/>
    <n v="0.17"/>
    <n v="1.2249999841666666"/>
    <n v="7.3499999049999998"/>
    <n v="10.564625999814893"/>
  </r>
  <r>
    <n v="748233"/>
    <s v="Campanha B"/>
    <x v="3"/>
    <x v="1"/>
    <x v="1"/>
    <n v="78627"/>
    <n v="19"/>
    <n v="26.530000449999999"/>
    <n v="1"/>
    <n v="85"/>
    <n v="58.469999549999997"/>
    <n v="2.4164727129357601E-4"/>
    <n v="0.05"/>
    <n v="1.3963158131578948"/>
    <n v="26.530000449999999"/>
    <n v="2.203920036118959"/>
  </r>
  <r>
    <n v="748235"/>
    <s v="Campanha B"/>
    <x v="3"/>
    <x v="1"/>
    <x v="1"/>
    <n v="102695"/>
    <n v="25"/>
    <n v="39.42999983"/>
    <n v="3"/>
    <n v="255"/>
    <n v="215.57000017000001"/>
    <n v="2.4343931057987245E-4"/>
    <n v="0.12"/>
    <n v="1.5771999932"/>
    <n v="13.143333276666667"/>
    <n v="5.467157014948433"/>
  </r>
  <r>
    <n v="748294"/>
    <s v="Campanha B"/>
    <x v="3"/>
    <x v="1"/>
    <x v="5"/>
    <n v="82827"/>
    <n v="24"/>
    <n v="47.930000309999997"/>
    <n v="3"/>
    <n v="255"/>
    <n v="207.06999969"/>
    <n v="2.8976058531638235E-4"/>
    <n v="0.13"/>
    <n v="1.9970833462499999"/>
    <n v="15.97666677"/>
    <n v="4.3202586762094688"/>
  </r>
  <r>
    <n v="748295"/>
    <s v="Campanha B"/>
    <x v="3"/>
    <x v="1"/>
    <x v="5"/>
    <n v="9240"/>
    <n v="3"/>
    <n v="6.0399999619999996"/>
    <n v="1"/>
    <n v="85"/>
    <n v="78.960000038000004"/>
    <n v="3.2467532467532468E-4"/>
    <n v="0.33"/>
    <n v="2.0133333206666664"/>
    <n v="6.0399999619999996"/>
    <n v="13.07284777065699"/>
  </r>
  <r>
    <n v="748303"/>
    <s v="Campanha B"/>
    <x v="3"/>
    <x v="1"/>
    <x v="4"/>
    <n v="7706"/>
    <n v="2"/>
    <n v="2.369999886"/>
    <n v="1"/>
    <n v="85"/>
    <n v="82.630000113999998"/>
    <n v="2.5953802232026989E-4"/>
    <n v="0.5"/>
    <n v="1.184999943"/>
    <n v="2.369999886"/>
    <n v="34.864980628104554"/>
  </r>
  <r>
    <n v="748314"/>
    <s v="Campanha B"/>
    <x v="3"/>
    <x v="1"/>
    <x v="6"/>
    <n v="7821"/>
    <n v="4"/>
    <n v="6.3400001530000001"/>
    <n v="2"/>
    <n v="170"/>
    <n v="163.65999984699999"/>
    <n v="5.1144354941823301E-4"/>
    <n v="0.5"/>
    <n v="1.58500003825"/>
    <n v="3.1700000765"/>
    <n v="25.813879479097228"/>
  </r>
  <r>
    <n v="748341"/>
    <s v="Campanha B"/>
    <x v="3"/>
    <x v="1"/>
    <x v="21"/>
    <n v="1363"/>
    <n v="0"/>
    <n v="0"/>
    <n v="0"/>
    <n v="0"/>
    <n v="0"/>
    <n v="0"/>
    <n v="0"/>
    <n v="0"/>
    <n v="0"/>
    <n v="0"/>
  </r>
  <r>
    <n v="776318"/>
    <s v="Campanha B"/>
    <x v="3"/>
    <x v="1"/>
    <x v="0"/>
    <n v="3569"/>
    <n v="0"/>
    <n v="0"/>
    <n v="0"/>
    <n v="0"/>
    <n v="0"/>
    <n v="0"/>
    <n v="0"/>
    <n v="0"/>
    <n v="0"/>
    <n v="0"/>
  </r>
  <r>
    <n v="776322"/>
    <s v="Campanha B"/>
    <x v="3"/>
    <x v="1"/>
    <x v="1"/>
    <n v="119063"/>
    <n v="34"/>
    <n v="53.219999489999999"/>
    <n v="1"/>
    <n v="85"/>
    <n v="31.780000510000001"/>
    <n v="2.8556310524680212E-4"/>
    <n v="0.03"/>
    <n v="1.5652941026470588"/>
    <n v="53.219999489999999"/>
    <n v="0.59714394615827537"/>
  </r>
  <r>
    <n v="776323"/>
    <s v="Campanha B"/>
    <x v="3"/>
    <x v="1"/>
    <x v="1"/>
    <n v="99078"/>
    <n v="23"/>
    <n v="35.799999479999997"/>
    <n v="2"/>
    <n v="170"/>
    <n v="134.20000052"/>
    <n v="2.3214033387835846E-4"/>
    <n v="0.09"/>
    <n v="1.5565217165217391"/>
    <n v="17.899999739999998"/>
    <n v="3.7486034209294354"/>
  </r>
  <r>
    <n v="776325"/>
    <s v="Campanha B"/>
    <x v="3"/>
    <x v="1"/>
    <x v="1"/>
    <n v="452398"/>
    <n v="114"/>
    <n v="180.22000120000001"/>
    <n v="1"/>
    <n v="85"/>
    <n v="-95.220001200000013"/>
    <n v="2.5199050393679903E-4"/>
    <n v="0.01"/>
    <n v="1.5808772035087721"/>
    <n v="180.22000120000001"/>
    <n v="-0.52835423685481586"/>
  </r>
  <r>
    <n v="776334"/>
    <s v="Campanha B"/>
    <x v="3"/>
    <x v="1"/>
    <x v="16"/>
    <n v="191223"/>
    <n v="48"/>
    <n v="76.41000056"/>
    <n v="1"/>
    <n v="85"/>
    <n v="8.5899994399999997"/>
    <n v="2.5101582968575954E-4"/>
    <n v="0.02"/>
    <n v="1.5918750116666667"/>
    <n v="76.41000056"/>
    <n v="0.11241983218223915"/>
  </r>
  <r>
    <n v="776336"/>
    <s v="Campanha B"/>
    <x v="3"/>
    <x v="1"/>
    <x v="16"/>
    <n v="22216"/>
    <n v="6"/>
    <n v="9.5499999520000003"/>
    <n v="1"/>
    <n v="85"/>
    <n v="75.450000047999993"/>
    <n v="2.7007562117392869E-4"/>
    <n v="0.17"/>
    <n v="1.5916666586666668"/>
    <n v="9.5499999520000003"/>
    <n v="7.9005236049450387"/>
  </r>
  <r>
    <n v="776338"/>
    <s v="Campanha B"/>
    <x v="3"/>
    <x v="1"/>
    <x v="16"/>
    <n v="48291"/>
    <n v="11"/>
    <n v="18.019999980000001"/>
    <n v="1"/>
    <n v="85"/>
    <n v="66.980000020000006"/>
    <n v="2.2778571576484232E-4"/>
    <n v="0.09"/>
    <n v="1.6381818163636366"/>
    <n v="18.019999980000001"/>
    <n v="3.7169811373107451"/>
  </r>
  <r>
    <n v="776353"/>
    <s v="Campanha B"/>
    <x v="2"/>
    <x v="1"/>
    <x v="13"/>
    <n v="27559"/>
    <n v="8"/>
    <n v="13.37"/>
    <n v="1"/>
    <n v="85"/>
    <n v="71.63"/>
    <n v="2.9028629485830401E-4"/>
    <n v="0.13"/>
    <n v="1.6712499999999999"/>
    <n v="13.37"/>
    <n v="5.3575168287210175"/>
  </r>
  <r>
    <n v="776373"/>
    <s v="Campanha B"/>
    <x v="3"/>
    <x v="1"/>
    <x v="15"/>
    <n v="10194"/>
    <n v="4"/>
    <n v="4.5900000329999999"/>
    <n v="3"/>
    <n v="255"/>
    <n v="250.409999967"/>
    <n v="3.9238767902687857E-4"/>
    <n v="0.75"/>
    <n v="1.14750000825"/>
    <n v="1.530000011"/>
    <n v="54.555555156136535"/>
  </r>
  <r>
    <n v="776383"/>
    <s v="Campanha B"/>
    <x v="3"/>
    <x v="1"/>
    <x v="20"/>
    <n v="1168"/>
    <n v="0"/>
    <n v="0"/>
    <n v="0"/>
    <n v="0"/>
    <n v="0"/>
    <n v="0"/>
    <n v="0"/>
    <n v="0"/>
    <n v="0"/>
    <n v="0"/>
  </r>
  <r>
    <n v="776405"/>
    <s v="Campanha B"/>
    <x v="3"/>
    <x v="1"/>
    <x v="10"/>
    <n v="40126"/>
    <n v="16"/>
    <n v="25.86000001"/>
    <n v="1"/>
    <n v="85"/>
    <n v="59.13999999"/>
    <n v="3.9874395653690872E-4"/>
    <n v="0.06"/>
    <n v="1.616250000625"/>
    <n v="25.86000001"/>
    <n v="2.286929619765302"/>
  </r>
  <r>
    <n v="776416"/>
    <s v="Campanha B"/>
    <x v="3"/>
    <x v="1"/>
    <x v="17"/>
    <n v="3659"/>
    <n v="1"/>
    <n v="0.49000000999999999"/>
    <n v="2"/>
    <n v="170"/>
    <n v="169.50999999000001"/>
    <n v="2.7329871549603714E-4"/>
    <n v="2"/>
    <n v="0.49000000999999999"/>
    <n v="0.24500000499999999"/>
    <n v="345.9387684298211"/>
  </r>
  <r>
    <n v="776430"/>
    <s v="Campanha B"/>
    <x v="0"/>
    <x v="0"/>
    <x v="16"/>
    <n v="3200"/>
    <n v="0"/>
    <n v="0"/>
    <n v="0"/>
    <n v="0"/>
    <n v="0"/>
    <n v="0"/>
    <n v="0"/>
    <n v="0"/>
    <n v="0"/>
    <n v="0"/>
  </r>
  <r>
    <n v="776464"/>
    <s v="Campanha B"/>
    <x v="3"/>
    <x v="1"/>
    <x v="4"/>
    <n v="7550"/>
    <n v="1"/>
    <n v="1.6799999480000001"/>
    <n v="2"/>
    <n v="170"/>
    <n v="168.32000005200001"/>
    <n v="1.3245033112582781E-4"/>
    <n v="2"/>
    <n v="1.6799999480000001"/>
    <n v="0.83999997400000004"/>
    <n v="100.19047932256245"/>
  </r>
  <r>
    <n v="776469"/>
    <s v="Campanha B"/>
    <x v="3"/>
    <x v="1"/>
    <x v="3"/>
    <n v="45397"/>
    <n v="15"/>
    <n v="25.419999359999998"/>
    <n v="2"/>
    <n v="170"/>
    <n v="144.58000064000001"/>
    <n v="3.3041830957992817E-4"/>
    <n v="0.13"/>
    <n v="1.6946666239999999"/>
    <n v="12.709999679999999"/>
    <n v="5.6876476900115867"/>
  </r>
  <r>
    <n v="776473"/>
    <s v="Campanha B"/>
    <x v="0"/>
    <x v="0"/>
    <x v="1"/>
    <n v="23086"/>
    <n v="2"/>
    <n v="3.3100000619999999"/>
    <n v="2"/>
    <n v="170"/>
    <n v="166.689999938"/>
    <n v="8.6632591180802222E-5"/>
    <n v="1"/>
    <n v="1.6550000309999999"/>
    <n v="1.6550000309999999"/>
    <n v="50.359515654293062"/>
  </r>
  <r>
    <n v="776475"/>
    <s v="Campanha B"/>
    <x v="0"/>
    <x v="0"/>
    <x v="1"/>
    <n v="16425"/>
    <n v="1"/>
    <n v="1.5499999520000001"/>
    <n v="1"/>
    <n v="85"/>
    <n v="83.450000048000007"/>
    <n v="6.0882800608828003E-5"/>
    <n v="1"/>
    <n v="1.5499999520000001"/>
    <n v="1.5499999520000001"/>
    <n v="53.838711375650419"/>
  </r>
  <r>
    <n v="776476"/>
    <s v="Campanha B"/>
    <x v="0"/>
    <x v="0"/>
    <x v="1"/>
    <n v="43756"/>
    <n v="5"/>
    <n v="5.4399999379999997"/>
    <n v="0"/>
    <n v="0"/>
    <n v="-5.4399999379999997"/>
    <n v="1.1427004296553616E-4"/>
    <n v="0"/>
    <n v="1.0879999875999999"/>
    <n v="0"/>
    <n v="-1"/>
  </r>
  <r>
    <n v="776477"/>
    <s v="Campanha B"/>
    <x v="0"/>
    <x v="0"/>
    <x v="1"/>
    <n v="9982"/>
    <n v="0"/>
    <n v="0"/>
    <n v="0"/>
    <n v="0"/>
    <n v="0"/>
    <n v="0"/>
    <n v="0"/>
    <n v="0"/>
    <n v="0"/>
    <n v="0"/>
  </r>
  <r>
    <n v="776489"/>
    <s v="Campanha B"/>
    <x v="3"/>
    <x v="1"/>
    <x v="18"/>
    <n v="175389"/>
    <n v="55"/>
    <n v="81.609997870000001"/>
    <n v="1"/>
    <n v="85"/>
    <n v="3.3900021299999992"/>
    <n v="3.1358865151178236E-4"/>
    <n v="0.02"/>
    <n v="1.4838181430909092"/>
    <n v="81.609997870000001"/>
    <n v="4.1539054263915999E-2"/>
  </r>
  <r>
    <n v="776494"/>
    <s v="Campanha B"/>
    <x v="0"/>
    <x v="0"/>
    <x v="0"/>
    <n v="7015"/>
    <n v="0"/>
    <n v="0"/>
    <n v="0"/>
    <n v="0"/>
    <n v="0"/>
    <n v="0"/>
    <n v="0"/>
    <n v="0"/>
    <n v="0"/>
    <n v="0"/>
  </r>
  <r>
    <n v="776515"/>
    <s v="Campanha B"/>
    <x v="3"/>
    <x v="1"/>
    <x v="14"/>
    <n v="12706"/>
    <n v="3"/>
    <n v="4.98999989"/>
    <n v="2"/>
    <n v="170"/>
    <n v="165.01000010999999"/>
    <n v="2.3610892491736187E-4"/>
    <n v="0.67"/>
    <n v="1.6633332966666667"/>
    <n v="2.494999945"/>
    <n v="33.068137023546107"/>
  </r>
  <r>
    <n v="776519"/>
    <s v="Campanha B"/>
    <x v="3"/>
    <x v="1"/>
    <x v="14"/>
    <n v="70702"/>
    <n v="20"/>
    <n v="31.709999799999999"/>
    <n v="1"/>
    <n v="85"/>
    <n v="53.290000200000001"/>
    <n v="2.8287742920992336E-4"/>
    <n v="0.05"/>
    <n v="1.58549999"/>
    <n v="31.709999799999999"/>
    <n v="1.6805424325483598"/>
  </r>
  <r>
    <n v="776533"/>
    <s v="Campanha B"/>
    <x v="3"/>
    <x v="1"/>
    <x v="13"/>
    <n v="63927"/>
    <n v="16"/>
    <n v="25.520000459999999"/>
    <n v="2"/>
    <n v="170"/>
    <n v="144.47999953999999"/>
    <n v="2.5028548187776685E-4"/>
    <n v="0.13"/>
    <n v="1.5950000287499999"/>
    <n v="12.760000229999999"/>
    <n v="5.661441886196581"/>
  </r>
  <r>
    <n v="776534"/>
    <s v="Campanha B"/>
    <x v="3"/>
    <x v="1"/>
    <x v="13"/>
    <n v="15105"/>
    <n v="3"/>
    <n v="4.2599999899999998"/>
    <n v="1"/>
    <n v="85"/>
    <n v="80.740000010000003"/>
    <n v="1.9860973187686197E-4"/>
    <n v="0.33"/>
    <n v="1.4199999966666665"/>
    <n v="4.2599999899999998"/>
    <n v="18.953051690030637"/>
  </r>
  <r>
    <n v="776538"/>
    <s v="Campanha B"/>
    <x v="0"/>
    <x v="1"/>
    <x v="0"/>
    <n v="8774"/>
    <n v="1"/>
    <n v="1.8300000430000001"/>
    <n v="1"/>
    <n v="85"/>
    <n v="83.169999957000002"/>
    <n v="1.1397310234784591E-4"/>
    <n v="1"/>
    <n v="1.8300000430000001"/>
    <n v="1.8300000430000001"/>
    <n v="45.448086340290864"/>
  </r>
  <r>
    <n v="776551"/>
    <s v="Campanha B"/>
    <x v="0"/>
    <x v="1"/>
    <x v="1"/>
    <n v="14459"/>
    <n v="1"/>
    <n v="1.3899999860000001"/>
    <n v="1"/>
    <n v="85"/>
    <n v="83.610000013999993"/>
    <n v="6.9161076146344842E-5"/>
    <n v="1"/>
    <n v="1.3899999860000001"/>
    <n v="1.3899999860000001"/>
    <n v="60.151079752600793"/>
  </r>
  <r>
    <n v="776552"/>
    <s v="Campanha B"/>
    <x v="0"/>
    <x v="1"/>
    <x v="1"/>
    <n v="21596"/>
    <n v="2"/>
    <n v="2.8099999430000002"/>
    <n v="1"/>
    <n v="85"/>
    <n v="82.190000057000006"/>
    <n v="9.2609742544915726E-5"/>
    <n v="0.5"/>
    <n v="1.4049999715000001"/>
    <n v="2.8099999430000002"/>
    <n v="29.249110933878761"/>
  </r>
  <r>
    <n v="776553"/>
    <s v="Campanha B"/>
    <x v="0"/>
    <x v="1"/>
    <x v="1"/>
    <n v="66765"/>
    <n v="8"/>
    <n v="11.04999971"/>
    <n v="1"/>
    <n v="85"/>
    <n v="73.950000290000006"/>
    <n v="1.1982326069048154E-4"/>
    <n v="0.13"/>
    <n v="1.38124996375"/>
    <n v="11.04999971"/>
    <n v="6.6923078941872669"/>
  </r>
  <r>
    <n v="776563"/>
    <s v="Campanha B"/>
    <x v="0"/>
    <x v="1"/>
    <x v="7"/>
    <n v="1369"/>
    <n v="0"/>
    <n v="0"/>
    <n v="0"/>
    <n v="0"/>
    <n v="0"/>
    <n v="0"/>
    <n v="0"/>
    <n v="0"/>
    <n v="0"/>
    <n v="0"/>
  </r>
  <r>
    <n v="776579"/>
    <s v="Campanha B"/>
    <x v="0"/>
    <x v="1"/>
    <x v="16"/>
    <n v="26910"/>
    <n v="5"/>
    <n v="7.2299997810000001"/>
    <n v="1"/>
    <n v="85"/>
    <n v="77.770000218999996"/>
    <n v="1.8580453363062059E-4"/>
    <n v="0.2"/>
    <n v="1.4459999562000001"/>
    <n v="7.2299997810000001"/>
    <n v="10.756570203968032"/>
  </r>
  <r>
    <n v="776603"/>
    <s v="Campanha B"/>
    <x v="0"/>
    <x v="1"/>
    <x v="23"/>
    <n v="506"/>
    <n v="0"/>
    <n v="0"/>
    <n v="0"/>
    <n v="0"/>
    <n v="0"/>
    <n v="0"/>
    <n v="0"/>
    <n v="0"/>
    <n v="0"/>
    <n v="0"/>
  </r>
  <r>
    <n v="776615"/>
    <s v="Campanha B"/>
    <x v="3"/>
    <x v="0"/>
    <x v="13"/>
    <n v="11988"/>
    <n v="3"/>
    <n v="4.2699998619999997"/>
    <n v="1"/>
    <n v="85"/>
    <n v="80.730000137999994"/>
    <n v="2.5025025025025025E-4"/>
    <n v="0.33"/>
    <n v="1.4233332873333333"/>
    <n v="4.2699998619999997"/>
    <n v="18.90632382835426"/>
  </r>
  <r>
    <n v="776623"/>
    <s v="Campanha B"/>
    <x v="3"/>
    <x v="0"/>
    <x v="21"/>
    <n v="19353"/>
    <n v="6"/>
    <n v="9.4799998999999993"/>
    <n v="2"/>
    <n v="170"/>
    <n v="160.5200001"/>
    <n v="3.1002945279801579E-4"/>
    <n v="0.33"/>
    <n v="1.5799999833333331"/>
    <n v="4.7399999499999996"/>
    <n v="16.932489640638078"/>
  </r>
  <r>
    <n v="776631"/>
    <s v="Campanha B"/>
    <x v="2"/>
    <x v="0"/>
    <x v="4"/>
    <n v="10960"/>
    <n v="2"/>
    <n v="2.8900001049999999"/>
    <n v="1"/>
    <n v="85"/>
    <n v="82.109999895000001"/>
    <n v="1.8248175182481751E-4"/>
    <n v="0.5"/>
    <n v="1.4450000525"/>
    <n v="2.8900001049999999"/>
    <n v="28.411763637288864"/>
  </r>
  <r>
    <n v="776643"/>
    <s v="Campanha B"/>
    <x v="0"/>
    <x v="0"/>
    <x v="0"/>
    <n v="33491"/>
    <n v="6"/>
    <n v="10.56999969"/>
    <n v="3"/>
    <n v="255"/>
    <n v="244.43000031"/>
    <n v="1.7915260816338719E-4"/>
    <n v="0.5"/>
    <n v="1.761666615"/>
    <n v="3.52333323"/>
    <n v="23.124882448317273"/>
  </r>
  <r>
    <n v="776644"/>
    <s v="Campanha B"/>
    <x v="0"/>
    <x v="0"/>
    <x v="0"/>
    <n v="20083"/>
    <n v="2"/>
    <n v="3.2000000480000002"/>
    <n v="3"/>
    <n v="255"/>
    <n v="251.79999995200001"/>
    <n v="9.9586715132201359E-5"/>
    <n v="1.5"/>
    <n v="1.6000000240000001"/>
    <n v="1.0666666826666666"/>
    <n v="78.687498804687522"/>
  </r>
  <r>
    <n v="776659"/>
    <s v="Campanha B"/>
    <x v="0"/>
    <x v="0"/>
    <x v="1"/>
    <n v="8817"/>
    <n v="0"/>
    <n v="0"/>
    <n v="0"/>
    <n v="0"/>
    <n v="0"/>
    <n v="0"/>
    <n v="0"/>
    <n v="0"/>
    <n v="0"/>
    <n v="0"/>
  </r>
  <r>
    <n v="776661"/>
    <s v="Campanha B"/>
    <x v="0"/>
    <x v="0"/>
    <x v="1"/>
    <n v="15466"/>
    <n v="1"/>
    <n v="0.97000002900000004"/>
    <n v="1"/>
    <n v="85"/>
    <n v="84.029999970999995"/>
    <n v="6.4657959394801506E-5"/>
    <n v="1"/>
    <n v="0.97000002900000004"/>
    <n v="0.97000002900000004"/>
    <n v="86.628863359549442"/>
  </r>
  <r>
    <n v="776662"/>
    <s v="Campanha B"/>
    <x v="0"/>
    <x v="0"/>
    <x v="1"/>
    <n v="27072"/>
    <n v="3"/>
    <n v="4.3700000049999996"/>
    <n v="1"/>
    <n v="85"/>
    <n v="80.629999995000006"/>
    <n v="1.1081560283687943E-4"/>
    <n v="0.33"/>
    <n v="1.4566666683333331"/>
    <n v="4.3700000049999996"/>
    <n v="18.450800893076888"/>
  </r>
  <r>
    <n v="776663"/>
    <s v="Campanha B"/>
    <x v="0"/>
    <x v="0"/>
    <x v="1"/>
    <n v="15753"/>
    <n v="1"/>
    <n v="0.56999999300000004"/>
    <n v="2"/>
    <n v="170"/>
    <n v="169.43000000699999"/>
    <n v="6.3479972068812291E-5"/>
    <n v="2"/>
    <n v="0.56999999300000004"/>
    <n v="0.28499999650000002"/>
    <n v="297.24561769775318"/>
  </r>
  <r>
    <n v="776668"/>
    <s v="Campanha B"/>
    <x v="2"/>
    <x v="0"/>
    <x v="17"/>
    <n v="3523"/>
    <n v="1"/>
    <n v="1.809999943"/>
    <n v="2"/>
    <n v="170"/>
    <n v="168.19000005699999"/>
    <n v="2.838489923360772E-4"/>
    <n v="2"/>
    <n v="1.809999943"/>
    <n v="0.9049999715"/>
    <n v="92.922654891486914"/>
  </r>
  <r>
    <n v="776685"/>
    <s v="Campanha B"/>
    <x v="2"/>
    <x v="0"/>
    <x v="1"/>
    <n v="7745"/>
    <n v="0"/>
    <n v="0"/>
    <n v="0"/>
    <n v="0"/>
    <n v="0"/>
    <n v="0"/>
    <n v="0"/>
    <n v="0"/>
    <n v="0"/>
    <n v="0"/>
  </r>
  <r>
    <n v="776686"/>
    <s v="Campanha B"/>
    <x v="2"/>
    <x v="0"/>
    <x v="1"/>
    <n v="18709"/>
    <n v="2"/>
    <n v="3.3199999330000001"/>
    <n v="1"/>
    <n v="85"/>
    <n v="81.680000066999995"/>
    <n v="1.0690042225666791E-4"/>
    <n v="0.5"/>
    <n v="1.6599999665"/>
    <n v="3.3199999330000001"/>
    <n v="24.602410155229361"/>
  </r>
  <r>
    <n v="776687"/>
    <s v="Campanha B"/>
    <x v="2"/>
    <x v="0"/>
    <x v="1"/>
    <n v="8022"/>
    <n v="0"/>
    <n v="0"/>
    <n v="0"/>
    <n v="0"/>
    <n v="0"/>
    <n v="0"/>
    <n v="0"/>
    <n v="0"/>
    <n v="0"/>
    <n v="0"/>
  </r>
  <r>
    <n v="776696"/>
    <s v="Campanha B"/>
    <x v="0"/>
    <x v="0"/>
    <x v="16"/>
    <n v="7966"/>
    <n v="1"/>
    <n v="1.1799999480000001"/>
    <n v="2"/>
    <n v="170"/>
    <n v="168.82000005200001"/>
    <n v="1.2553351744915893E-4"/>
    <n v="2"/>
    <n v="1.1799999480000001"/>
    <n v="0.58999997400000004"/>
    <n v="143.06780295892014"/>
  </r>
  <r>
    <n v="776697"/>
    <s v="Campanha B"/>
    <x v="0"/>
    <x v="0"/>
    <x v="16"/>
    <n v="4132"/>
    <n v="0"/>
    <n v="0"/>
    <n v="0"/>
    <n v="0"/>
    <n v="0"/>
    <n v="0"/>
    <n v="0"/>
    <n v="0"/>
    <n v="0"/>
    <n v="0"/>
  </r>
  <r>
    <n v="776698"/>
    <s v="Campanha B"/>
    <x v="0"/>
    <x v="0"/>
    <x v="16"/>
    <n v="12785"/>
    <n v="3"/>
    <n v="4.7300000190000002"/>
    <n v="3"/>
    <n v="255"/>
    <n v="250.26999998100001"/>
    <n v="2.3464998044583498E-4"/>
    <n v="1"/>
    <n v="1.5766666730000001"/>
    <n v="1.5766666730000001"/>
    <n v="52.911204857439138"/>
  </r>
  <r>
    <n v="776699"/>
    <s v="Campanha B"/>
    <x v="0"/>
    <x v="0"/>
    <x v="16"/>
    <n v="8213"/>
    <n v="1"/>
    <n v="1.3799999949999999"/>
    <n v="2"/>
    <n v="170"/>
    <n v="168.62000000500001"/>
    <n v="1.2175818823815901E-4"/>
    <n v="2"/>
    <n v="1.3799999949999999"/>
    <n v="0.68999999749999996"/>
    <n v="122.18840624343626"/>
  </r>
  <r>
    <n v="776722"/>
    <s v="Campanha B"/>
    <x v="0"/>
    <x v="0"/>
    <x v="23"/>
    <n v="545"/>
    <n v="0"/>
    <n v="0"/>
    <n v="0"/>
    <n v="0"/>
    <n v="0"/>
    <n v="0"/>
    <n v="0"/>
    <n v="0"/>
    <n v="0"/>
    <n v="0"/>
  </r>
  <r>
    <n v="776725"/>
    <s v="Campanha B"/>
    <x v="2"/>
    <x v="0"/>
    <x v="20"/>
    <n v="2479"/>
    <n v="1"/>
    <n v="1.2599999900000001"/>
    <n v="1"/>
    <n v="85"/>
    <n v="83.740000010000003"/>
    <n v="4.0338846308995562E-4"/>
    <n v="1"/>
    <n v="1.2599999900000001"/>
    <n v="1.2599999900000001"/>
    <n v="66.460317995716807"/>
  </r>
  <r>
    <n v="776780"/>
    <s v="Campanha B"/>
    <x v="2"/>
    <x v="0"/>
    <x v="23"/>
    <n v="3812"/>
    <n v="2"/>
    <n v="3.0499999519999998"/>
    <n v="1"/>
    <n v="85"/>
    <n v="81.950000048000007"/>
    <n v="5.2465897166841555E-4"/>
    <n v="0.5"/>
    <n v="1.5249999759999999"/>
    <n v="3.0499999519999998"/>
    <n v="26.868852897608182"/>
  </r>
  <r>
    <n v="776793"/>
    <s v="Campanha B"/>
    <x v="3"/>
    <x v="0"/>
    <x v="10"/>
    <n v="1609"/>
    <n v="0"/>
    <n v="0"/>
    <n v="0"/>
    <n v="0"/>
    <n v="0"/>
    <n v="0"/>
    <n v="0"/>
    <n v="0"/>
    <n v="0"/>
    <n v="0"/>
  </r>
  <r>
    <n v="776799"/>
    <s v="Campanha B"/>
    <x v="3"/>
    <x v="0"/>
    <x v="2"/>
    <n v="10257"/>
    <n v="3"/>
    <n v="3.579999924"/>
    <n v="2"/>
    <n v="170"/>
    <n v="166.42000007600001"/>
    <n v="2.9248318221702252E-4"/>
    <n v="0.67"/>
    <n v="1.1933333079999999"/>
    <n v="1.789999962"/>
    <n v="46.486034527636491"/>
  </r>
  <r>
    <n v="776817"/>
    <s v="Campanha B"/>
    <x v="2"/>
    <x v="0"/>
    <x v="16"/>
    <n v="12356"/>
    <n v="4"/>
    <n v="6.2799999709999996"/>
    <n v="1"/>
    <n v="85"/>
    <n v="78.720000029000005"/>
    <n v="3.2372936225315638E-4"/>
    <n v="0.25"/>
    <n v="1.5699999927499999"/>
    <n v="6.2799999709999996"/>
    <n v="12.535031909636295"/>
  </r>
  <r>
    <n v="776825"/>
    <s v="Campanha B"/>
    <x v="3"/>
    <x v="0"/>
    <x v="12"/>
    <n v="7410"/>
    <n v="1"/>
    <n v="1.210000038"/>
    <n v="1"/>
    <n v="85"/>
    <n v="83.789999961999996"/>
    <n v="1.3495276653171389E-4"/>
    <n v="1"/>
    <n v="1.210000038"/>
    <n v="1.210000038"/>
    <n v="69.247931678164122"/>
  </r>
  <r>
    <n v="776829"/>
    <s v="Campanha B"/>
    <x v="3"/>
    <x v="0"/>
    <x v="1"/>
    <n v="140098"/>
    <n v="28"/>
    <n v="46.630000109999997"/>
    <n v="1"/>
    <n v="85"/>
    <n v="38.369999890000003"/>
    <n v="1.99860097931448E-4"/>
    <n v="0.04"/>
    <n v="1.6653571467857142"/>
    <n v="46.630000109999997"/>
    <n v="0.82286081491497565"/>
  </r>
  <r>
    <n v="776831"/>
    <s v="Campanha B"/>
    <x v="3"/>
    <x v="0"/>
    <x v="1"/>
    <n v="107021"/>
    <n v="20"/>
    <n v="34.440000120000001"/>
    <n v="1"/>
    <n v="85"/>
    <n v="50.559999879999999"/>
    <n v="1.8687921062221434E-4"/>
    <n v="0.05"/>
    <n v="1.722000006"/>
    <n v="34.440000120000001"/>
    <n v="1.4680603862901496"/>
  </r>
  <r>
    <n v="776840"/>
    <s v="Campanha B"/>
    <x v="1"/>
    <x v="0"/>
    <x v="19"/>
    <n v="2797"/>
    <n v="1"/>
    <n v="1.289999962"/>
    <n v="1"/>
    <n v="85"/>
    <n v="83.710000038000004"/>
    <n v="3.5752592062924561E-4"/>
    <n v="1"/>
    <n v="1.289999962"/>
    <n v="1.289999962"/>
    <n v="64.891474809206244"/>
  </r>
  <r>
    <n v="776861"/>
    <s v="Campanha B"/>
    <x v="3"/>
    <x v="0"/>
    <x v="7"/>
    <n v="16461"/>
    <n v="6"/>
    <n v="9.2199997899999993"/>
    <n v="1"/>
    <n v="85"/>
    <n v="75.780000209999997"/>
    <n v="3.6449790413705123E-4"/>
    <n v="0.17"/>
    <n v="1.5366666316666666"/>
    <n v="9.2199997899999993"/>
    <n v="8.2190891470725305"/>
  </r>
  <r>
    <n v="776892"/>
    <s v="Campanha B"/>
    <x v="2"/>
    <x v="0"/>
    <x v="13"/>
    <n v="17488"/>
    <n v="5"/>
    <n v="7.7199999090000002"/>
    <n v="1"/>
    <n v="85"/>
    <n v="77.280000091000005"/>
    <n v="2.8591033851784083E-4"/>
    <n v="0.2"/>
    <n v="1.5439999818000001"/>
    <n v="7.7199999090000002"/>
    <n v="10.010362824085883"/>
  </r>
  <r>
    <n v="776928"/>
    <s v="Campanha B"/>
    <x v="1"/>
    <x v="0"/>
    <x v="16"/>
    <n v="9750"/>
    <n v="2"/>
    <n v="1.5"/>
    <n v="2"/>
    <n v="170"/>
    <n v="168.5"/>
    <n v="2.0512820512820512E-4"/>
    <n v="1"/>
    <n v="0.75"/>
    <n v="0.75"/>
    <n v="112.33333333333333"/>
  </r>
  <r>
    <n v="776935"/>
    <s v="Campanha B"/>
    <x v="3"/>
    <x v="0"/>
    <x v="19"/>
    <n v="1136"/>
    <n v="0"/>
    <n v="0"/>
    <n v="0"/>
    <n v="0"/>
    <n v="0"/>
    <n v="0"/>
    <n v="0"/>
    <n v="0"/>
    <n v="0"/>
    <n v="0"/>
  </r>
  <r>
    <n v="777105"/>
    <s v="Campanha B"/>
    <x v="3"/>
    <x v="0"/>
    <x v="13"/>
    <n v="4333"/>
    <n v="1"/>
    <n v="0.18000000699999999"/>
    <n v="2"/>
    <n v="170"/>
    <n v="169.81999999300001"/>
    <n v="2.3078698361412417E-4"/>
    <n v="2"/>
    <n v="0.18000000699999999"/>
    <n v="9.0000003499999995E-2"/>
    <n v="943.44440771605093"/>
  </r>
  <r>
    <n v="777130"/>
    <s v="Campanha B"/>
    <x v="1"/>
    <x v="0"/>
    <x v="1"/>
    <n v="6260"/>
    <n v="0"/>
    <n v="0"/>
    <n v="0"/>
    <n v="0"/>
    <n v="0"/>
    <n v="0"/>
    <n v="0"/>
    <n v="0"/>
    <n v="0"/>
    <n v="0"/>
  </r>
  <r>
    <n v="777131"/>
    <s v="Campanha B"/>
    <x v="1"/>
    <x v="0"/>
    <x v="1"/>
    <n v="6359"/>
    <n v="0"/>
    <n v="0"/>
    <n v="0"/>
    <n v="0"/>
    <n v="0"/>
    <n v="0"/>
    <n v="0"/>
    <n v="0"/>
    <n v="0"/>
    <n v="0"/>
  </r>
  <r>
    <n v="777166"/>
    <s v="Campanha B"/>
    <x v="0"/>
    <x v="0"/>
    <x v="13"/>
    <n v="2383"/>
    <n v="0"/>
    <n v="0"/>
    <n v="0"/>
    <n v="0"/>
    <n v="0"/>
    <n v="0"/>
    <n v="0"/>
    <n v="0"/>
    <n v="0"/>
    <n v="0"/>
  </r>
  <r>
    <n v="777187"/>
    <s v="Campanha B"/>
    <x v="2"/>
    <x v="0"/>
    <x v="5"/>
    <n v="11292"/>
    <n v="3"/>
    <n v="5.3899998660000001"/>
    <n v="2"/>
    <n v="170"/>
    <n v="164.61000013399999"/>
    <n v="2.6567481402763017E-4"/>
    <n v="0.67"/>
    <n v="1.796666622"/>
    <n v="2.6949999330000001"/>
    <n v="30.539889466854394"/>
  </r>
  <r>
    <n v="777198"/>
    <s v="Campanha B"/>
    <x v="0"/>
    <x v="0"/>
    <x v="21"/>
    <n v="12729"/>
    <n v="4"/>
    <n v="5.7799998520000004"/>
    <n v="1"/>
    <n v="85"/>
    <n v="79.220000147999997"/>
    <n v="3.1424306701233402E-4"/>
    <n v="0.25"/>
    <n v="1.4449999630000001"/>
    <n v="5.7799998520000004"/>
    <n v="13.70588272949319"/>
  </r>
  <r>
    <n v="777200"/>
    <s v="Campanha B"/>
    <x v="0"/>
    <x v="0"/>
    <x v="21"/>
    <n v="1898"/>
    <n v="0"/>
    <n v="0"/>
    <n v="0"/>
    <n v="0"/>
    <n v="0"/>
    <n v="0"/>
    <n v="0"/>
    <n v="0"/>
    <n v="0"/>
    <n v="0"/>
  </r>
  <r>
    <n v="777201"/>
    <s v="Campanha B"/>
    <x v="0"/>
    <x v="0"/>
    <x v="21"/>
    <n v="1882"/>
    <n v="0"/>
    <n v="0"/>
    <n v="0"/>
    <n v="0"/>
    <n v="0"/>
    <n v="0"/>
    <n v="0"/>
    <n v="0"/>
    <n v="0"/>
    <n v="0"/>
  </r>
  <r>
    <n v="777235"/>
    <s v="Campanha B"/>
    <x v="0"/>
    <x v="0"/>
    <x v="14"/>
    <n v="2883"/>
    <n v="1"/>
    <n v="0.99000001000000004"/>
    <n v="2"/>
    <n v="170"/>
    <n v="169.00999999000001"/>
    <n v="3.4686090877558099E-4"/>
    <n v="2"/>
    <n v="0.99000001000000004"/>
    <n v="0.49500000500000002"/>
    <n v="170.71716998265487"/>
  </r>
  <r>
    <n v="777248"/>
    <s v="Campanha B"/>
    <x v="0"/>
    <x v="1"/>
    <x v="7"/>
    <n v="3989"/>
    <n v="1"/>
    <n v="1.2799999710000001"/>
    <n v="1"/>
    <n v="85"/>
    <n v="83.720000029000005"/>
    <n v="2.5068939583855601E-4"/>
    <n v="1"/>
    <n v="1.2799999710000001"/>
    <n v="1.2799999710000001"/>
    <n v="65.406251504516632"/>
  </r>
  <r>
    <n v="777261"/>
    <s v="Campanha B"/>
    <x v="2"/>
    <x v="0"/>
    <x v="4"/>
    <n v="19603"/>
    <n v="4"/>
    <n v="5.2799999709999996"/>
    <n v="2"/>
    <n v="170"/>
    <n v="164.720000029"/>
    <n v="2.0405040044891087E-4"/>
    <n v="0.5"/>
    <n v="1.3199999927499999"/>
    <n v="2.6399999854999998"/>
    <n v="31.196969873809117"/>
  </r>
  <r>
    <n v="777382"/>
    <s v="Campanha B"/>
    <x v="2"/>
    <x v="0"/>
    <x v="9"/>
    <n v="3047"/>
    <n v="1"/>
    <n v="1.3799999949999999"/>
    <n v="1"/>
    <n v="85"/>
    <n v="83.620000004999994"/>
    <n v="3.2819166393173612E-4"/>
    <n v="1"/>
    <n v="1.3799999949999999"/>
    <n v="1.3799999949999999"/>
    <n v="60.594203121718124"/>
  </r>
  <r>
    <n v="777398"/>
    <s v="Campanha B"/>
    <x v="1"/>
    <x v="0"/>
    <x v="9"/>
    <n v="3029"/>
    <n v="1"/>
    <n v="1.0499999520000001"/>
    <n v="2"/>
    <n v="170"/>
    <n v="168.95000004799999"/>
    <n v="3.3014196104324861E-4"/>
    <n v="2"/>
    <n v="1.0499999520000001"/>
    <n v="0.52499997600000003"/>
    <n v="160.90476930612277"/>
  </r>
  <r>
    <n v="777410"/>
    <s v="Campanha B"/>
    <x v="3"/>
    <x v="0"/>
    <x v="18"/>
    <n v="3490"/>
    <n v="1"/>
    <n v="1.3400000329999999"/>
    <n v="2"/>
    <n v="170"/>
    <n v="168.659999967"/>
    <n v="2.8653295128939826E-4"/>
    <n v="2"/>
    <n v="1.3400000329999999"/>
    <n v="0.67000001649999996"/>
    <n v="125.86566851748728"/>
  </r>
  <r>
    <n v="777482"/>
    <s v="Campanha B"/>
    <x v="3"/>
    <x v="0"/>
    <x v="3"/>
    <n v="2479"/>
    <n v="0"/>
    <n v="0"/>
    <n v="0"/>
    <n v="0"/>
    <n v="0"/>
    <n v="0"/>
    <n v="0"/>
    <n v="0"/>
    <n v="0"/>
    <n v="0"/>
  </r>
  <r>
    <n v="777495"/>
    <s v="Campanha B"/>
    <x v="2"/>
    <x v="0"/>
    <x v="17"/>
    <n v="19581"/>
    <n v="7"/>
    <n v="10.42999983"/>
    <n v="2"/>
    <n v="170"/>
    <n v="159.57000017000001"/>
    <n v="3.57489402992697E-4"/>
    <n v="0.28999999999999998"/>
    <n v="1.4899999757142857"/>
    <n v="5.2149999149999999"/>
    <n v="15.299137370168108"/>
  </r>
  <r>
    <n v="777519"/>
    <s v="Campanha B"/>
    <x v="3"/>
    <x v="0"/>
    <x v="4"/>
    <n v="19537"/>
    <n v="5"/>
    <n v="6.0999999049999998"/>
    <n v="1"/>
    <n v="85"/>
    <n v="78.900000094999996"/>
    <n v="2.5592465578133796E-4"/>
    <n v="0.2"/>
    <n v="1.219999981"/>
    <n v="6.0999999049999998"/>
    <n v="12.934426446519756"/>
  </r>
  <r>
    <n v="777625"/>
    <s v="Campanha B"/>
    <x v="3"/>
    <x v="0"/>
    <x v="1"/>
    <n v="59433"/>
    <n v="12"/>
    <n v="19.659999490000001"/>
    <n v="3"/>
    <n v="255"/>
    <n v="235.34000051000001"/>
    <n v="2.0190803089192874E-4"/>
    <n v="0.25"/>
    <n v="1.6383332908333335"/>
    <n v="6.5533331633333338"/>
    <n v="11.970498810526673"/>
  </r>
  <r>
    <n v="777627"/>
    <s v="Campanha B"/>
    <x v="3"/>
    <x v="0"/>
    <x v="1"/>
    <n v="157534"/>
    <n v="33"/>
    <n v="56.190000769999997"/>
    <n v="2"/>
    <n v="170"/>
    <n v="113.80999923"/>
    <n v="2.0947858874909543E-4"/>
    <n v="0.06"/>
    <n v="1.7027272960606059"/>
    <n v="28.095000384999999"/>
    <n v="2.0254493267557221"/>
  </r>
  <r>
    <n v="777638"/>
    <s v="Campanha B"/>
    <x v="2"/>
    <x v="0"/>
    <x v="7"/>
    <n v="1781"/>
    <n v="0"/>
    <n v="0"/>
    <n v="0"/>
    <n v="0"/>
    <n v="0"/>
    <n v="0"/>
    <n v="0"/>
    <n v="0"/>
    <n v="0"/>
    <n v="0"/>
  </r>
  <r>
    <n v="777670"/>
    <s v="Campanha B"/>
    <x v="2"/>
    <x v="0"/>
    <x v="1"/>
    <n v="23769"/>
    <n v="4"/>
    <n v="6.0299998520000004"/>
    <n v="1"/>
    <n v="85"/>
    <n v="78.970000147999997"/>
    <n v="1.6828642349278473E-4"/>
    <n v="0.25"/>
    <n v="1.5074999630000001"/>
    <n v="6.0299998520000004"/>
    <n v="13.096186083952825"/>
  </r>
  <r>
    <n v="777673"/>
    <s v="Campanha B"/>
    <x v="2"/>
    <x v="0"/>
    <x v="1"/>
    <n v="7101"/>
    <n v="0"/>
    <n v="0"/>
    <n v="0"/>
    <n v="0"/>
    <n v="0"/>
    <n v="0"/>
    <n v="0"/>
    <n v="0"/>
    <n v="0"/>
    <n v="0"/>
  </r>
  <r>
    <n v="777742"/>
    <s v="Campanha B"/>
    <x v="1"/>
    <x v="0"/>
    <x v="21"/>
    <n v="4726"/>
    <n v="1"/>
    <n v="1.8300000430000001"/>
    <n v="2"/>
    <n v="170"/>
    <n v="168.16999995699999"/>
    <n v="2.1159542953872197E-4"/>
    <n v="2"/>
    <n v="1.8300000430000001"/>
    <n v="0.91500002150000004"/>
    <n v="91.896172680581728"/>
  </r>
  <r>
    <n v="777758"/>
    <s v="Campanha B"/>
    <x v="0"/>
    <x v="0"/>
    <x v="17"/>
    <n v="5209"/>
    <n v="1"/>
    <n v="0.959999979"/>
    <n v="2"/>
    <n v="170"/>
    <n v="169.040000021"/>
    <n v="1.9197542714532539E-4"/>
    <n v="2"/>
    <n v="0.959999979"/>
    <n v="0.4799999895"/>
    <n v="176.08333720703132"/>
  </r>
  <r>
    <n v="777794"/>
    <s v="Campanha B"/>
    <x v="0"/>
    <x v="0"/>
    <x v="12"/>
    <n v="13473"/>
    <n v="3"/>
    <n v="2.619999945"/>
    <n v="3"/>
    <n v="255"/>
    <n v="252.38000005500001"/>
    <n v="2.2266755733689602E-4"/>
    <n v="1"/>
    <n v="0.873333315"/>
    <n v="0.873333315"/>
    <n v="96.328246317959369"/>
  </r>
  <r>
    <n v="777816"/>
    <s v="Campanha B"/>
    <x v="2"/>
    <x v="0"/>
    <x v="23"/>
    <n v="500"/>
    <n v="0"/>
    <n v="0"/>
    <n v="0"/>
    <n v="0"/>
    <n v="0"/>
    <n v="0"/>
    <n v="0"/>
    <n v="0"/>
    <n v="0"/>
    <n v="0"/>
  </r>
  <r>
    <n v="777871"/>
    <s v="Campanha B"/>
    <x v="0"/>
    <x v="0"/>
    <x v="2"/>
    <n v="4616"/>
    <n v="1"/>
    <n v="1.3600000139999999"/>
    <n v="1"/>
    <n v="85"/>
    <n v="83.639999986000007"/>
    <n v="2.1663778162911611E-4"/>
    <n v="1"/>
    <n v="1.3600000139999999"/>
    <n v="1.3600000139999999"/>
    <n v="61.499999356617664"/>
  </r>
  <r>
    <n v="777904"/>
    <s v="Campanha B"/>
    <x v="0"/>
    <x v="0"/>
    <x v="6"/>
    <n v="3279"/>
    <n v="0"/>
    <n v="0"/>
    <n v="0"/>
    <n v="0"/>
    <n v="0"/>
    <n v="0"/>
    <n v="0"/>
    <n v="0"/>
    <n v="0"/>
    <n v="0"/>
  </r>
  <r>
    <n v="777905"/>
    <s v="Campanha B"/>
    <x v="0"/>
    <x v="0"/>
    <x v="6"/>
    <n v="3288"/>
    <n v="0"/>
    <n v="0"/>
    <n v="0"/>
    <n v="0"/>
    <n v="0"/>
    <n v="0"/>
    <n v="0"/>
    <n v="0"/>
    <n v="0"/>
    <n v="0"/>
  </r>
  <r>
    <n v="778037"/>
    <s v="Campanha B"/>
    <x v="1"/>
    <x v="0"/>
    <x v="5"/>
    <n v="14615"/>
    <n v="4"/>
    <n v="6.0500001909999996"/>
    <n v="1"/>
    <n v="85"/>
    <n v="78.949999809000005"/>
    <n v="2.7369141293191924E-4"/>
    <n v="0.25"/>
    <n v="1.5125000477499999"/>
    <n v="6.0500001909999996"/>
    <n v="13.049586333310582"/>
  </r>
  <r>
    <n v="778048"/>
    <s v="Campanha B"/>
    <x v="0"/>
    <x v="0"/>
    <x v="5"/>
    <n v="56615"/>
    <n v="12"/>
    <n v="19.88000035"/>
    <n v="2"/>
    <n v="170"/>
    <n v="150.11999965000001"/>
    <n v="2.1195796167093527E-4"/>
    <n v="0.17"/>
    <n v="1.6566666958333334"/>
    <n v="9.9400001749999998"/>
    <n v="7.5513076965313042"/>
  </r>
  <r>
    <n v="778085"/>
    <s v="Campanha B"/>
    <x v="0"/>
    <x v="0"/>
    <x v="18"/>
    <n v="11735"/>
    <n v="3"/>
    <n v="4.5299999709999996"/>
    <n v="2"/>
    <n v="170"/>
    <n v="165.470000029"/>
    <n v="2.5564550489987217E-4"/>
    <n v="0.67"/>
    <n v="1.5099999903333332"/>
    <n v="2.2649999854999998"/>
    <n v="36.527594059227425"/>
  </r>
  <r>
    <n v="778087"/>
    <s v="Campanha B"/>
    <x v="0"/>
    <x v="0"/>
    <x v="18"/>
    <n v="15910"/>
    <n v="5"/>
    <n v="6.7799998520000004"/>
    <n v="1"/>
    <n v="85"/>
    <n v="78.220000147999997"/>
    <n v="3.1426775612822125E-4"/>
    <n v="0.2"/>
    <n v="1.3559999704000001"/>
    <n v="6.7799998520000004"/>
    <n v="11.536873430008445"/>
  </r>
  <r>
    <n v="778112"/>
    <s v="Campanha B"/>
    <x v="1"/>
    <x v="0"/>
    <x v="4"/>
    <n v="11446"/>
    <n v="2"/>
    <n v="3.0900000329999999"/>
    <n v="2"/>
    <n v="170"/>
    <n v="166.909999967"/>
    <n v="1.7473353136466887E-4"/>
    <n v="1"/>
    <n v="1.5450000165"/>
    <n v="1.5450000165"/>
    <n v="54.016180642222025"/>
  </r>
  <r>
    <n v="778113"/>
    <s v="Campanha B"/>
    <x v="1"/>
    <x v="0"/>
    <x v="4"/>
    <n v="4595"/>
    <n v="0"/>
    <n v="0"/>
    <n v="0"/>
    <n v="0"/>
    <n v="0"/>
    <n v="0"/>
    <n v="0"/>
    <n v="0"/>
    <n v="0"/>
    <n v="0"/>
  </r>
  <r>
    <n v="778124"/>
    <s v="Campanha B"/>
    <x v="0"/>
    <x v="0"/>
    <x v="4"/>
    <n v="4871"/>
    <n v="0"/>
    <n v="0"/>
    <n v="0"/>
    <n v="0"/>
    <n v="0"/>
    <n v="0"/>
    <n v="0"/>
    <n v="0"/>
    <n v="0"/>
    <n v="0"/>
  </r>
  <r>
    <n v="778148"/>
    <s v="Campanha B"/>
    <x v="1"/>
    <x v="0"/>
    <x v="3"/>
    <n v="3199"/>
    <n v="0"/>
    <n v="0"/>
    <n v="0"/>
    <n v="0"/>
    <n v="0"/>
    <n v="0"/>
    <n v="0"/>
    <n v="0"/>
    <n v="0"/>
    <n v="0"/>
  </r>
  <r>
    <n v="778156"/>
    <s v="Campanha B"/>
    <x v="0"/>
    <x v="0"/>
    <x v="3"/>
    <n v="9388"/>
    <n v="2"/>
    <n v="3.1400001049999999"/>
    <n v="1"/>
    <n v="85"/>
    <n v="81.859999895000001"/>
    <n v="2.1303792074989347E-4"/>
    <n v="0.5"/>
    <n v="1.5700000525"/>
    <n v="3.1400001049999999"/>
    <n v="26.070062789058412"/>
  </r>
  <r>
    <n v="778161"/>
    <s v="Campanha B"/>
    <x v="0"/>
    <x v="0"/>
    <x v="3"/>
    <n v="17954"/>
    <n v="6"/>
    <n v="7.5400001999999997"/>
    <n v="3"/>
    <n v="255"/>
    <n v="247.45999979999999"/>
    <n v="3.3418736771750028E-4"/>
    <n v="0.5"/>
    <n v="1.2566667"/>
    <n v="2.5133334000000001"/>
    <n v="32.819627750142502"/>
  </r>
  <r>
    <n v="778208"/>
    <s v="Campanha B"/>
    <x v="2"/>
    <x v="1"/>
    <x v="4"/>
    <n v="2755"/>
    <n v="0"/>
    <n v="0"/>
    <n v="0"/>
    <n v="0"/>
    <n v="0"/>
    <n v="0"/>
    <n v="0"/>
    <n v="0"/>
    <n v="0"/>
    <n v="0"/>
  </r>
  <r>
    <n v="778264"/>
    <s v="Campanha B"/>
    <x v="2"/>
    <x v="1"/>
    <x v="5"/>
    <n v="8152"/>
    <n v="1"/>
    <n v="0.99000001000000004"/>
    <n v="1"/>
    <n v="85"/>
    <n v="84.009999989999997"/>
    <n v="1.226692836113837E-4"/>
    <n v="1"/>
    <n v="0.99000001000000004"/>
    <n v="0.99000001000000004"/>
    <n v="84.858584991327419"/>
  </r>
  <r>
    <n v="778266"/>
    <s v="Campanha B"/>
    <x v="2"/>
    <x v="1"/>
    <x v="5"/>
    <n v="74542"/>
    <n v="19"/>
    <n v="34.1500001"/>
    <n v="1"/>
    <n v="85"/>
    <n v="50.8499999"/>
    <n v="2.5488986074964447E-4"/>
    <n v="0.05"/>
    <n v="1.7973684263157894"/>
    <n v="34.1500001"/>
    <n v="1.4890190263864742"/>
  </r>
  <r>
    <n v="778421"/>
    <s v="Campanha B"/>
    <x v="2"/>
    <x v="1"/>
    <x v="2"/>
    <n v="6699"/>
    <n v="2"/>
    <n v="3.0900000329999999"/>
    <n v="1"/>
    <n v="85"/>
    <n v="81.909999967000005"/>
    <n v="2.985520226899537E-4"/>
    <n v="0.5"/>
    <n v="1.5450000165"/>
    <n v="3.0900000329999999"/>
    <n v="26.508090321111013"/>
  </r>
  <r>
    <n v="778422"/>
    <s v="Campanha B"/>
    <x v="2"/>
    <x v="1"/>
    <x v="2"/>
    <n v="11911"/>
    <n v="4"/>
    <n v="3.9599999189999999"/>
    <n v="1"/>
    <n v="85"/>
    <n v="81.040000081000002"/>
    <n v="3.3582402820921836E-4"/>
    <n v="0.25"/>
    <n v="0.98999997974999998"/>
    <n v="3.9599999189999999"/>
    <n v="20.46464690369606"/>
  </r>
  <r>
    <n v="778461"/>
    <s v="Campanha B"/>
    <x v="2"/>
    <x v="0"/>
    <x v="4"/>
    <n v="10090"/>
    <n v="2"/>
    <n v="2.6500000950000002"/>
    <n v="2"/>
    <n v="170"/>
    <n v="167.349999905"/>
    <n v="1.9821605550049553E-4"/>
    <n v="1"/>
    <n v="1.3250000475000001"/>
    <n v="1.3250000475000001"/>
    <n v="63.150941096475691"/>
  </r>
  <r>
    <n v="778471"/>
    <s v="Campanha B"/>
    <x v="0"/>
    <x v="0"/>
    <x v="11"/>
    <n v="1273"/>
    <n v="0"/>
    <n v="0"/>
    <n v="0"/>
    <n v="0"/>
    <n v="0"/>
    <n v="0"/>
    <n v="0"/>
    <n v="0"/>
    <n v="0"/>
    <n v="0"/>
  </r>
  <r>
    <n v="778483"/>
    <s v="Campanha B"/>
    <x v="2"/>
    <x v="1"/>
    <x v="12"/>
    <n v="24188"/>
    <n v="5"/>
    <n v="8.1799998279999997"/>
    <n v="1"/>
    <n v="85"/>
    <n v="76.820000171999993"/>
    <n v="2.0671407309409625E-4"/>
    <n v="0.2"/>
    <n v="1.6359999655999999"/>
    <n v="8.1799998279999997"/>
    <n v="9.3911982625044121"/>
  </r>
  <r>
    <n v="778529"/>
    <s v="Campanha B"/>
    <x v="0"/>
    <x v="0"/>
    <x v="6"/>
    <n v="2214"/>
    <n v="0"/>
    <n v="0"/>
    <n v="0"/>
    <n v="0"/>
    <n v="0"/>
    <n v="0"/>
    <n v="0"/>
    <n v="0"/>
    <n v="0"/>
    <n v="0"/>
  </r>
  <r>
    <n v="778556"/>
    <s v="Campanha B"/>
    <x v="2"/>
    <x v="0"/>
    <x v="11"/>
    <n v="9735"/>
    <n v="4"/>
    <n v="4.1300001139999996"/>
    <n v="2"/>
    <n v="170"/>
    <n v="165.86999988599999"/>
    <n v="4.1088854648176684E-4"/>
    <n v="0.5"/>
    <n v="1.0325000284999999"/>
    <n v="2.0650000569999998"/>
    <n v="40.162226466708518"/>
  </r>
  <r>
    <n v="778590"/>
    <s v="Campanha B"/>
    <x v="0"/>
    <x v="0"/>
    <x v="8"/>
    <n v="1371"/>
    <n v="0"/>
    <n v="0"/>
    <n v="0"/>
    <n v="0"/>
    <n v="0"/>
    <n v="0"/>
    <n v="0"/>
    <n v="0"/>
    <n v="0"/>
    <n v="0"/>
  </r>
  <r>
    <n v="778600"/>
    <s v="Campanha B"/>
    <x v="2"/>
    <x v="1"/>
    <x v="22"/>
    <n v="10750"/>
    <n v="4"/>
    <n v="5.3899998660000001"/>
    <n v="1"/>
    <n v="85"/>
    <n v="79.610000134000003"/>
    <n v="3.7209302325581393E-4"/>
    <n v="0.25"/>
    <n v="1.3474999665"/>
    <n v="5.3899998660000001"/>
    <n v="14.769944733427197"/>
  </r>
  <r>
    <n v="778626"/>
    <s v="Campanha B"/>
    <x v="0"/>
    <x v="0"/>
    <x v="4"/>
    <n v="7629"/>
    <n v="1"/>
    <n v="0.72000002900000004"/>
    <n v="2"/>
    <n v="170"/>
    <n v="169.279999971"/>
    <n v="1.3107877834578582E-4"/>
    <n v="2"/>
    <n v="0.72000002900000004"/>
    <n v="0.36000001450000002"/>
    <n v="235.11110160108061"/>
  </r>
  <r>
    <n v="778628"/>
    <s v="Campanha B"/>
    <x v="0"/>
    <x v="0"/>
    <x v="4"/>
    <n v="4608"/>
    <n v="0"/>
    <n v="0"/>
    <n v="0"/>
    <n v="0"/>
    <n v="0"/>
    <n v="0"/>
    <n v="0"/>
    <n v="0"/>
    <n v="0"/>
    <n v="0"/>
  </r>
  <r>
    <n v="778674"/>
    <s v="Campanha B"/>
    <x v="1"/>
    <x v="0"/>
    <x v="4"/>
    <n v="3732"/>
    <n v="0"/>
    <n v="0"/>
    <n v="0"/>
    <n v="0"/>
    <n v="0"/>
    <n v="0"/>
    <n v="0"/>
    <n v="0"/>
    <n v="0"/>
    <n v="0"/>
  </r>
  <r>
    <n v="778689"/>
    <s v="Campanha B"/>
    <x v="0"/>
    <x v="0"/>
    <x v="3"/>
    <n v="7453"/>
    <n v="1"/>
    <n v="1.6799999480000001"/>
    <n v="2"/>
    <n v="170"/>
    <n v="168.32000005200001"/>
    <n v="1.3417415805715819E-4"/>
    <n v="2"/>
    <n v="1.6799999480000001"/>
    <n v="0.83999997400000004"/>
    <n v="100.19047932256245"/>
  </r>
  <r>
    <n v="778722"/>
    <s v="Campanha B"/>
    <x v="1"/>
    <x v="1"/>
    <x v="21"/>
    <n v="41785"/>
    <n v="14"/>
    <n v="19.100000380000001"/>
    <n v="1"/>
    <n v="85"/>
    <n v="65.899999620000003"/>
    <n v="3.3504846236687808E-4"/>
    <n v="7.0000000000000007E-2"/>
    <n v="1.3642857414285714"/>
    <n v="19.100000380000001"/>
    <n v="3.450261691565474"/>
  </r>
  <r>
    <n v="778737"/>
    <s v="Campanha B"/>
    <x v="1"/>
    <x v="0"/>
    <x v="5"/>
    <n v="8077"/>
    <n v="2"/>
    <n v="3.579999924"/>
    <n v="2"/>
    <n v="170"/>
    <n v="166.42000007600001"/>
    <n v="2.4761668936486319E-4"/>
    <n v="1"/>
    <n v="1.789999962"/>
    <n v="1.789999962"/>
    <n v="46.486034527636491"/>
  </r>
  <r>
    <n v="778756"/>
    <s v="Campanha B"/>
    <x v="1"/>
    <x v="1"/>
    <x v="13"/>
    <n v="5602"/>
    <n v="1"/>
    <n v="1.5800000430000001"/>
    <n v="1"/>
    <n v="85"/>
    <n v="83.419999957000002"/>
    <n v="1.785076758300607E-4"/>
    <n v="1"/>
    <n v="1.5800000430000001"/>
    <n v="1.5800000430000001"/>
    <n v="52.797466890322099"/>
  </r>
  <r>
    <n v="778804"/>
    <s v="Campanha B"/>
    <x v="0"/>
    <x v="0"/>
    <x v="18"/>
    <n v="6184"/>
    <n v="2"/>
    <n v="2.75"/>
    <n v="2"/>
    <n v="170"/>
    <n v="167.25"/>
    <n v="3.2341526520051749E-4"/>
    <n v="1"/>
    <n v="1.375"/>
    <n v="1.375"/>
    <n v="60.81818181818182"/>
  </r>
  <r>
    <n v="778808"/>
    <s v="Campanha B"/>
    <x v="0"/>
    <x v="0"/>
    <x v="18"/>
    <n v="1738"/>
    <n v="0"/>
    <n v="0"/>
    <n v="0"/>
    <n v="0"/>
    <n v="0"/>
    <n v="0"/>
    <n v="0"/>
    <n v="0"/>
    <n v="0"/>
    <n v="0"/>
  </r>
  <r>
    <n v="778964"/>
    <s v="Campanha B"/>
    <x v="1"/>
    <x v="1"/>
    <x v="5"/>
    <n v="112460"/>
    <n v="25"/>
    <n v="41.290000679999999"/>
    <n v="1"/>
    <n v="85"/>
    <n v="43.709999320000001"/>
    <n v="2.2230126267117198E-4"/>
    <n v="0.04"/>
    <n v="1.6516000272"/>
    <n v="41.290000679999999"/>
    <n v="1.0586097989863246"/>
  </r>
  <r>
    <n v="779057"/>
    <s v="Campanha B"/>
    <x v="2"/>
    <x v="0"/>
    <x v="0"/>
    <n v="4414"/>
    <n v="0"/>
    <n v="0"/>
    <n v="0"/>
    <n v="0"/>
    <n v="0"/>
    <n v="0"/>
    <n v="0"/>
    <n v="0"/>
    <n v="0"/>
    <n v="0"/>
  </r>
  <r>
    <n v="779106"/>
    <s v="Campanha B"/>
    <x v="1"/>
    <x v="1"/>
    <x v="8"/>
    <n v="14670"/>
    <n v="7"/>
    <n v="9.4100003240000003"/>
    <n v="1"/>
    <n v="85"/>
    <n v="75.589999676000005"/>
    <n v="4.7716428084526244E-4"/>
    <n v="0.14000000000000001"/>
    <n v="1.3442857605714287"/>
    <n v="9.4100003240000003"/>
    <n v="8.0329433659220353"/>
  </r>
  <r>
    <n v="779438"/>
    <s v="Campanha B"/>
    <x v="0"/>
    <x v="1"/>
    <x v="21"/>
    <n v="33144"/>
    <n v="9"/>
    <n v="13.40999985"/>
    <n v="1"/>
    <n v="85"/>
    <n v="71.590000149999995"/>
    <n v="2.715423606082549E-4"/>
    <n v="0.11"/>
    <n v="1.4899999833333333"/>
    <n v="13.40999985"/>
    <n v="5.3385533893201345"/>
  </r>
  <r>
    <n v="779453"/>
    <s v="Campanha B"/>
    <x v="3"/>
    <x v="0"/>
    <x v="21"/>
    <n v="4397"/>
    <n v="1"/>
    <n v="0.94999998799999996"/>
    <n v="1"/>
    <n v="85"/>
    <n v="84.050000011999998"/>
    <n v="2.2742779167614282E-4"/>
    <n v="1"/>
    <n v="0.94999998799999996"/>
    <n v="0.94999998799999996"/>
    <n v="88.473685340720237"/>
  </r>
  <r>
    <n v="779488"/>
    <s v="Campanha B"/>
    <x v="3"/>
    <x v="0"/>
    <x v="14"/>
    <n v="1006"/>
    <n v="0"/>
    <n v="0"/>
    <n v="0"/>
    <n v="0"/>
    <n v="0"/>
    <n v="0"/>
    <n v="0"/>
    <n v="0"/>
    <n v="0"/>
    <n v="0"/>
  </r>
  <r>
    <n v="779573"/>
    <s v="Campanha B"/>
    <x v="1"/>
    <x v="1"/>
    <x v="16"/>
    <n v="89527"/>
    <n v="24"/>
    <n v="32.289999960000003"/>
    <n v="1"/>
    <n v="85"/>
    <n v="52.710000039999997"/>
    <n v="2.6807555262658192E-4"/>
    <n v="0.04"/>
    <n v="1.3454166650000001"/>
    <n v="32.289999960000003"/>
    <n v="1.6323939332702306"/>
  </r>
  <r>
    <n v="779608"/>
    <s v="Campanha B"/>
    <x v="1"/>
    <x v="1"/>
    <x v="0"/>
    <n v="2459"/>
    <n v="0"/>
    <n v="0"/>
    <n v="0"/>
    <n v="0"/>
    <n v="0"/>
    <n v="0"/>
    <n v="0"/>
    <n v="0"/>
    <n v="0"/>
    <n v="0"/>
  </r>
  <r>
    <n v="779609"/>
    <s v="Campanha B"/>
    <x v="1"/>
    <x v="1"/>
    <x v="0"/>
    <n v="7116"/>
    <n v="2"/>
    <n v="1.730000019"/>
    <n v="2"/>
    <n v="170"/>
    <n v="168.26999998100001"/>
    <n v="2.8105677346824059E-4"/>
    <n v="1"/>
    <n v="0.8650000095"/>
    <n v="0.8650000095"/>
    <n v="97.265894874536428"/>
  </r>
  <r>
    <n v="779622"/>
    <s v="Campanha B"/>
    <x v="0"/>
    <x v="1"/>
    <x v="0"/>
    <n v="8613"/>
    <n v="1"/>
    <n v="0.88999998599999997"/>
    <n v="2"/>
    <n v="170"/>
    <n v="169.11000001400001"/>
    <n v="1.1610356437942645E-4"/>
    <n v="2"/>
    <n v="0.88999998599999997"/>
    <n v="0.44499999299999998"/>
    <n v="190.01123895972736"/>
  </r>
  <r>
    <n v="779631"/>
    <s v="Campanha B"/>
    <x v="1"/>
    <x v="1"/>
    <x v="1"/>
    <n v="9730"/>
    <n v="1"/>
    <n v="1.3799999949999999"/>
    <n v="1"/>
    <n v="85"/>
    <n v="83.620000004999994"/>
    <n v="1.0277492291880781E-4"/>
    <n v="1"/>
    <n v="1.3799999949999999"/>
    <n v="1.3799999949999999"/>
    <n v="60.594203121718124"/>
  </r>
  <r>
    <n v="779644"/>
    <s v="Campanha B"/>
    <x v="0"/>
    <x v="1"/>
    <x v="1"/>
    <n v="51816"/>
    <n v="8"/>
    <n v="10.229999899999999"/>
    <n v="3"/>
    <n v="255"/>
    <n v="244.7700001"/>
    <n v="1.5439246564767639E-4"/>
    <n v="0.38"/>
    <n v="1.2787499874999999"/>
    <n v="3.4099999666666663"/>
    <n v="23.926686460671423"/>
  </r>
  <r>
    <n v="779645"/>
    <s v="Campanha B"/>
    <x v="0"/>
    <x v="1"/>
    <x v="1"/>
    <n v="27289"/>
    <n v="3"/>
    <n v="4.4299998279999997"/>
    <n v="1"/>
    <n v="85"/>
    <n v="80.570000171999993"/>
    <n v="1.0993440580453663E-4"/>
    <n v="0.33"/>
    <n v="1.4766666093333332"/>
    <n v="4.4299998279999997"/>
    <n v="18.187359661450532"/>
  </r>
  <r>
    <n v="779715"/>
    <s v="Campanha B"/>
    <x v="0"/>
    <x v="1"/>
    <x v="4"/>
    <n v="20409"/>
    <n v="4"/>
    <n v="3.829999924"/>
    <n v="1"/>
    <n v="85"/>
    <n v="81.170000075999994"/>
    <n v="1.9599196432946249E-4"/>
    <n v="0.25"/>
    <n v="0.957499981"/>
    <n v="3.829999924"/>
    <n v="21.193211928638146"/>
  </r>
  <r>
    <n v="779716"/>
    <s v="Campanha B"/>
    <x v="0"/>
    <x v="1"/>
    <x v="4"/>
    <n v="8044"/>
    <n v="1"/>
    <n v="1.1100000139999999"/>
    <n v="1"/>
    <n v="85"/>
    <n v="83.889999986000007"/>
    <n v="1.2431626056688214E-4"/>
    <n v="1"/>
    <n v="1.1100000139999999"/>
    <n v="1.1100000139999999"/>
    <n v="75.576575610745905"/>
  </r>
  <r>
    <n v="779738"/>
    <s v="Campanha B"/>
    <x v="0"/>
    <x v="1"/>
    <x v="3"/>
    <n v="15645"/>
    <n v="4"/>
    <n v="5.3499999049999998"/>
    <n v="1"/>
    <n v="85"/>
    <n v="79.650000094999996"/>
    <n v="2.5567273889421543E-4"/>
    <n v="0.25"/>
    <n v="1.3374999762499999"/>
    <n v="5.3499999049999998"/>
    <n v="14.887850749410434"/>
  </r>
  <r>
    <n v="779778"/>
    <s v="Campanha B"/>
    <x v="0"/>
    <x v="1"/>
    <x v="6"/>
    <n v="2466"/>
    <n v="0"/>
    <n v="0"/>
    <n v="0"/>
    <n v="0"/>
    <n v="0"/>
    <n v="0"/>
    <n v="0"/>
    <n v="0"/>
    <n v="0"/>
    <n v="0"/>
  </r>
  <r>
    <n v="779789"/>
    <s v="Campanha B"/>
    <x v="3"/>
    <x v="0"/>
    <x v="16"/>
    <n v="11611"/>
    <n v="3"/>
    <n v="3.9500000480000002"/>
    <n v="2"/>
    <n v="170"/>
    <n v="166.04999995200001"/>
    <n v="2.5837567823615537E-4"/>
    <n v="0.67"/>
    <n v="1.3166666826666666"/>
    <n v="1.9750000240000001"/>
    <n v="42.037974160551201"/>
  </r>
  <r>
    <n v="779824"/>
    <s v="Campanha B"/>
    <x v="3"/>
    <x v="0"/>
    <x v="7"/>
    <n v="9375"/>
    <n v="3"/>
    <n v="4.0199999809999998"/>
    <n v="1"/>
    <n v="85"/>
    <n v="80.980000019000002"/>
    <n v="3.2000000000000003E-4"/>
    <n v="0.33"/>
    <n v="1.3399999936666667"/>
    <n v="4.0199999809999998"/>
    <n v="20.14427870690082"/>
  </r>
  <r>
    <n v="779871"/>
    <s v="Campanha B"/>
    <x v="0"/>
    <x v="1"/>
    <x v="11"/>
    <n v="4402"/>
    <n v="1"/>
    <n v="1.3300000430000001"/>
    <n v="2"/>
    <n v="170"/>
    <n v="168.66999995699999"/>
    <n v="2.2716946842344388E-4"/>
    <n v="2"/>
    <n v="1.3300000430000001"/>
    <n v="0.66500002150000004"/>
    <n v="126.81954473966884"/>
  </r>
  <r>
    <n v="779918"/>
    <s v="Campanha B"/>
    <x v="0"/>
    <x v="1"/>
    <x v="12"/>
    <n v="8469"/>
    <n v="2"/>
    <n v="3.0899999139999998"/>
    <n v="1"/>
    <n v="85"/>
    <n v="81.910000085999997"/>
    <n v="2.3615539024678239E-4"/>
    <n v="0.5"/>
    <n v="1.5449999569999999"/>
    <n v="3.0899999139999998"/>
    <n v="26.508091380484096"/>
  </r>
  <r>
    <n v="779922"/>
    <s v="Campanha B"/>
    <x v="0"/>
    <x v="1"/>
    <x v="12"/>
    <n v="5823"/>
    <n v="1"/>
    <n v="1.4199999569999999"/>
    <n v="2"/>
    <n v="170"/>
    <n v="168.58000004300001"/>
    <n v="1.7173278378842521E-4"/>
    <n v="2"/>
    <n v="1.4199999569999999"/>
    <n v="0.70999997849999996"/>
    <n v="118.71831348442782"/>
  </r>
  <r>
    <n v="779944"/>
    <s v="Campanha B"/>
    <x v="1"/>
    <x v="0"/>
    <x v="16"/>
    <n v="2549"/>
    <n v="0"/>
    <n v="0"/>
    <n v="0"/>
    <n v="0"/>
    <n v="0"/>
    <n v="0"/>
    <n v="0"/>
    <n v="0"/>
    <n v="0"/>
    <n v="0"/>
  </r>
  <r>
    <n v="779979"/>
    <s v="Campanha B"/>
    <x v="1"/>
    <x v="0"/>
    <x v="1"/>
    <n v="25817"/>
    <n v="4"/>
    <n v="6.0199999809999998"/>
    <n v="1"/>
    <n v="85"/>
    <n v="78.980000019000002"/>
    <n v="1.5493666963628617E-4"/>
    <n v="0.25"/>
    <n v="1.5049999952499999"/>
    <n v="6.0199999809999998"/>
    <n v="13.119601373467182"/>
  </r>
  <r>
    <n v="779995"/>
    <s v="Campanha B"/>
    <x v="0"/>
    <x v="1"/>
    <x v="2"/>
    <n v="1961"/>
    <n v="0"/>
    <n v="0"/>
    <n v="0"/>
    <n v="0"/>
    <n v="0"/>
    <n v="0"/>
    <n v="0"/>
    <n v="0"/>
    <n v="0"/>
    <n v="0"/>
  </r>
  <r>
    <n v="780064"/>
    <s v="Campanha B"/>
    <x v="0"/>
    <x v="1"/>
    <x v="22"/>
    <n v="2554"/>
    <n v="0"/>
    <n v="0"/>
    <n v="0"/>
    <n v="0"/>
    <n v="0"/>
    <n v="0"/>
    <n v="0"/>
    <n v="0"/>
    <n v="0"/>
    <n v="0"/>
  </r>
  <r>
    <n v="780104"/>
    <s v="Campanha B"/>
    <x v="0"/>
    <x v="1"/>
    <x v="15"/>
    <n v="4971"/>
    <n v="1"/>
    <n v="1.230000019"/>
    <n v="2"/>
    <n v="170"/>
    <n v="168.76999998100001"/>
    <n v="2.011667672500503E-4"/>
    <n v="2"/>
    <n v="1.230000019"/>
    <n v="0.6150000095"/>
    <n v="137.21137997884861"/>
  </r>
  <r>
    <n v="780199"/>
    <s v="Campanha B"/>
    <x v="1"/>
    <x v="1"/>
    <x v="20"/>
    <n v="1030"/>
    <n v="0"/>
    <n v="0"/>
    <n v="0"/>
    <n v="0"/>
    <n v="0"/>
    <n v="0"/>
    <n v="0"/>
    <n v="0"/>
    <n v="0"/>
    <n v="0"/>
  </r>
  <r>
    <n v="780318"/>
    <s v="Campanha B"/>
    <x v="3"/>
    <x v="1"/>
    <x v="4"/>
    <n v="162341"/>
    <n v="56"/>
    <n v="77.079999689999994"/>
    <n v="3"/>
    <n v="255"/>
    <n v="177.92000031000001"/>
    <n v="3.4495290776821627E-4"/>
    <n v="0.05"/>
    <n v="1.376428565892857"/>
    <n v="25.693333229999997"/>
    <n v="2.3082511809231692"/>
  </r>
  <r>
    <n v="780323"/>
    <s v="Campanha B"/>
    <x v="3"/>
    <x v="1"/>
    <x v="4"/>
    <n v="24542"/>
    <n v="7"/>
    <n v="9.3299999239999991"/>
    <n v="1"/>
    <n v="85"/>
    <n v="75.670000076000008"/>
    <n v="2.8522532800912719E-4"/>
    <n v="0.14000000000000001"/>
    <n v="1.3328571319999998"/>
    <n v="9.3299999239999991"/>
    <n v="8.1103966444148075"/>
  </r>
  <r>
    <n v="780486"/>
    <s v="Campanha B"/>
    <x v="0"/>
    <x v="1"/>
    <x v="14"/>
    <n v="2879"/>
    <n v="0"/>
    <n v="0"/>
    <n v="0"/>
    <n v="0"/>
    <n v="0"/>
    <n v="0"/>
    <n v="0"/>
    <n v="0"/>
    <n v="0"/>
    <n v="0"/>
  </r>
  <r>
    <n v="780498"/>
    <s v="Campanha B"/>
    <x v="0"/>
    <x v="1"/>
    <x v="21"/>
    <n v="13621"/>
    <n v="3"/>
    <n v="4.0900000329999999"/>
    <n v="1"/>
    <n v="85"/>
    <n v="80.909999967000005"/>
    <n v="2.202481462447691E-4"/>
    <n v="0.33"/>
    <n v="1.3633333443333333"/>
    <n v="4.0900000329999999"/>
    <n v="19.782395920337638"/>
  </r>
  <r>
    <n v="780511"/>
    <s v="Campanha B"/>
    <x v="0"/>
    <x v="1"/>
    <x v="13"/>
    <n v="6175"/>
    <n v="1"/>
    <n v="1.3700000050000001"/>
    <n v="3"/>
    <n v="255"/>
    <n v="253.62999999499999"/>
    <n v="1.6194331983805668E-4"/>
    <n v="3"/>
    <n v="1.3700000050000001"/>
    <n v="0.45666666833333336"/>
    <n v="185.13138618200222"/>
  </r>
  <r>
    <n v="780629"/>
    <s v="Campanha B"/>
    <x v="0"/>
    <x v="1"/>
    <x v="3"/>
    <n v="2963"/>
    <n v="0"/>
    <n v="0"/>
    <n v="0"/>
    <n v="0"/>
    <n v="0"/>
    <n v="0"/>
    <n v="0"/>
    <n v="0"/>
    <n v="0"/>
    <n v="0"/>
  </r>
  <r>
    <n v="780653"/>
    <s v="Campanha B"/>
    <x v="0"/>
    <x v="1"/>
    <x v="4"/>
    <n v="9076"/>
    <n v="1"/>
    <n v="1.3799999949999999"/>
    <n v="2"/>
    <n v="170"/>
    <n v="168.62000000500001"/>
    <n v="1.1018069634200089E-4"/>
    <n v="2"/>
    <n v="1.3799999949999999"/>
    <n v="0.68999999749999996"/>
    <n v="122.18840624343626"/>
  </r>
  <r>
    <n v="780655"/>
    <s v="Campanha B"/>
    <x v="0"/>
    <x v="1"/>
    <x v="4"/>
    <n v="20941"/>
    <n v="4"/>
    <n v="5.9099999670000001"/>
    <n v="2"/>
    <n v="170"/>
    <n v="164.090000033"/>
    <n v="1.9101284561386754E-4"/>
    <n v="0.5"/>
    <n v="1.47749999175"/>
    <n v="2.9549999835"/>
    <n v="27.764805575167273"/>
  </r>
  <r>
    <n v="780666"/>
    <s v="Campanha B"/>
    <x v="3"/>
    <x v="1"/>
    <x v="16"/>
    <n v="3462"/>
    <n v="0"/>
    <n v="0"/>
    <n v="0"/>
    <n v="0"/>
    <n v="0"/>
    <n v="0"/>
    <n v="0"/>
    <n v="0"/>
    <n v="0"/>
    <n v="0"/>
  </r>
  <r>
    <n v="780681"/>
    <s v="Campanha B"/>
    <x v="0"/>
    <x v="1"/>
    <x v="18"/>
    <n v="4073"/>
    <n v="0"/>
    <n v="0"/>
    <n v="0"/>
    <n v="0"/>
    <n v="0"/>
    <n v="0"/>
    <n v="0"/>
    <n v="0"/>
    <n v="0"/>
    <n v="0"/>
  </r>
  <r>
    <n v="780700"/>
    <s v="Campanha B"/>
    <x v="0"/>
    <x v="1"/>
    <x v="5"/>
    <n v="3745"/>
    <n v="0"/>
    <n v="0"/>
    <n v="0"/>
    <n v="0"/>
    <n v="0"/>
    <n v="0"/>
    <n v="0"/>
    <n v="0"/>
    <n v="0"/>
    <n v="0"/>
  </r>
  <r>
    <n v="780748"/>
    <s v="Campanha B"/>
    <x v="0"/>
    <x v="1"/>
    <x v="9"/>
    <n v="830"/>
    <n v="0"/>
    <n v="0"/>
    <n v="0"/>
    <n v="0"/>
    <n v="0"/>
    <n v="0"/>
    <n v="0"/>
    <n v="0"/>
    <n v="0"/>
    <n v="0"/>
  </r>
  <r>
    <n v="780759"/>
    <s v="Campanha B"/>
    <x v="3"/>
    <x v="1"/>
    <x v="12"/>
    <n v="2912"/>
    <n v="0"/>
    <n v="0"/>
    <n v="0"/>
    <n v="0"/>
    <n v="0"/>
    <n v="0"/>
    <n v="0"/>
    <n v="0"/>
    <n v="0"/>
    <n v="0"/>
  </r>
  <r>
    <n v="780760"/>
    <s v="Campanha B"/>
    <x v="3"/>
    <x v="1"/>
    <x v="12"/>
    <n v="17167"/>
    <n v="5"/>
    <n v="6.9100000860000002"/>
    <n v="1"/>
    <n v="85"/>
    <n v="78.089999914000003"/>
    <n v="2.9125648045669016E-4"/>
    <n v="0.2"/>
    <n v="1.3820000172"/>
    <n v="6.9100000860000002"/>
    <n v="11.301012871506931"/>
  </r>
  <r>
    <n v="780797"/>
    <s v="Campanha B"/>
    <x v="0"/>
    <x v="1"/>
    <x v="22"/>
    <n v="24491"/>
    <n v="7"/>
    <n v="9.5399999619999996"/>
    <n v="1"/>
    <n v="85"/>
    <n v="75.460000038000004"/>
    <n v="2.8581928055203954E-4"/>
    <n v="0.14000000000000001"/>
    <n v="1.3628571374285714"/>
    <n v="9.5399999619999996"/>
    <n v="7.9098532849658731"/>
  </r>
  <r>
    <n v="780799"/>
    <s v="Campanha B"/>
    <x v="0"/>
    <x v="1"/>
    <x v="22"/>
    <n v="44699"/>
    <n v="13"/>
    <n v="17.300000369999999"/>
    <n v="2"/>
    <n v="170"/>
    <n v="152.69999963000001"/>
    <n v="2.9083424685115997E-4"/>
    <n v="0.15"/>
    <n v="1.3307692592307692"/>
    <n v="8.6500001849999997"/>
    <n v="8.8265893852116726"/>
  </r>
  <r>
    <n v="780821"/>
    <s v="Campanha B"/>
    <x v="0"/>
    <x v="1"/>
    <x v="20"/>
    <n v="6469"/>
    <n v="2"/>
    <n v="1.309999943"/>
    <n v="1"/>
    <n v="85"/>
    <n v="83.690000057000006"/>
    <n v="3.0916679548616477E-4"/>
    <n v="0.5"/>
    <n v="0.6549999715"/>
    <n v="1.309999943"/>
    <n v="63.88549900646828"/>
  </r>
  <r>
    <n v="780830"/>
    <s v="Campanha B"/>
    <x v="3"/>
    <x v="1"/>
    <x v="1"/>
    <n v="16053"/>
    <n v="3"/>
    <n v="4.079999924"/>
    <n v="2"/>
    <n v="170"/>
    <n v="165.92000007600001"/>
    <n v="1.8688095683049897E-4"/>
    <n v="0.67"/>
    <n v="1.3599999746666667"/>
    <n v="2.039999962"/>
    <n v="40.666667442810471"/>
  </r>
  <r>
    <n v="780835"/>
    <s v="Campanha B"/>
    <x v="3"/>
    <x v="1"/>
    <x v="1"/>
    <n v="54724"/>
    <n v="12"/>
    <n v="17.929999949999999"/>
    <n v="2"/>
    <n v="170"/>
    <n v="152.07000005"/>
    <n v="2.1928221621226519E-4"/>
    <n v="0.17"/>
    <n v="1.4941666624999999"/>
    <n v="8.9649999749999996"/>
    <n v="8.4813162562222999"/>
  </r>
  <r>
    <n v="780867"/>
    <s v="Campanha B"/>
    <x v="0"/>
    <x v="1"/>
    <x v="10"/>
    <n v="4706"/>
    <n v="1"/>
    <n v="1.2200000289999999"/>
    <n v="1"/>
    <n v="85"/>
    <n v="83.779999970999995"/>
    <n v="2.1249468763280918E-4"/>
    <n v="1"/>
    <n v="1.2200000289999999"/>
    <n v="1.2200000289999999"/>
    <n v="68.672129491400199"/>
  </r>
  <r>
    <n v="780974"/>
    <s v="Campanha B"/>
    <x v="2"/>
    <x v="1"/>
    <x v="11"/>
    <n v="8316"/>
    <n v="3"/>
    <n v="4.5699999330000001"/>
    <n v="2"/>
    <n v="170"/>
    <n v="165.43000006700001"/>
    <n v="3.6075036075036075E-4"/>
    <n v="0.67"/>
    <n v="1.523333311"/>
    <n v="2.2849999665"/>
    <n v="36.19912527184713"/>
  </r>
  <r>
    <n v="781066"/>
    <s v="Campanha B"/>
    <x v="2"/>
    <x v="1"/>
    <x v="22"/>
    <n v="5794"/>
    <n v="2"/>
    <n v="2.2699999809999998"/>
    <n v="1"/>
    <n v="85"/>
    <n v="82.730000019000002"/>
    <n v="3.4518467380048324E-4"/>
    <n v="0.5"/>
    <n v="1.1349999904999999"/>
    <n v="2.2699999809999998"/>
    <n v="36.444934234120602"/>
  </r>
  <r>
    <n v="781114"/>
    <s v="Campanha B"/>
    <x v="2"/>
    <x v="1"/>
    <x v="12"/>
    <n v="4813"/>
    <n v="1"/>
    <n v="1.0299999710000001"/>
    <n v="1"/>
    <n v="85"/>
    <n v="83.970000029000005"/>
    <n v="2.0777062123415748E-4"/>
    <n v="1"/>
    <n v="1.0299999710000001"/>
    <n v="1.0299999710000001"/>
    <n v="81.524274168159181"/>
  </r>
  <r>
    <n v="781159"/>
    <s v="Campanha B"/>
    <x v="2"/>
    <x v="1"/>
    <x v="16"/>
    <n v="85285"/>
    <n v="26"/>
    <n v="36.130000350000003"/>
    <n v="1"/>
    <n v="85"/>
    <n v="48.869999649999997"/>
    <n v="3.0486017470833087E-4"/>
    <n v="0.04"/>
    <n v="1.3896153980769232"/>
    <n v="36.130000350000003"/>
    <n v="1.3526155321501399"/>
  </r>
  <r>
    <n v="781162"/>
    <s v="Campanha B"/>
    <x v="2"/>
    <x v="1"/>
    <x v="16"/>
    <n v="5839"/>
    <n v="1"/>
    <n v="1.3700000050000001"/>
    <n v="1"/>
    <n v="85"/>
    <n v="83.629999995000006"/>
    <n v="1.7126220243192326E-4"/>
    <n v="1"/>
    <n v="1.3700000050000001"/>
    <n v="1.3700000050000001"/>
    <n v="61.043795394000746"/>
  </r>
  <r>
    <n v="781175"/>
    <s v="Campanha B"/>
    <x v="2"/>
    <x v="1"/>
    <x v="0"/>
    <n v="5859"/>
    <n v="1"/>
    <n v="1.539999962"/>
    <n v="1"/>
    <n v="85"/>
    <n v="83.460000038000004"/>
    <n v="1.7067759003242875E-4"/>
    <n v="1"/>
    <n v="1.539999962"/>
    <n v="1.539999962"/>
    <n v="54.194806556754969"/>
  </r>
  <r>
    <n v="781187"/>
    <s v="Campanha B"/>
    <x v="2"/>
    <x v="1"/>
    <x v="1"/>
    <n v="164118"/>
    <n v="41"/>
    <n v="59.069999930000002"/>
    <n v="1"/>
    <n v="85"/>
    <n v="25.930000069999998"/>
    <n v="2.4982025128261374E-4"/>
    <n v="0.02"/>
    <n v="1.4407317056097562"/>
    <n v="59.069999930000002"/>
    <n v="0.43897071441895968"/>
  </r>
  <r>
    <n v="781195"/>
    <s v="Campanha B"/>
    <x v="1"/>
    <x v="1"/>
    <x v="13"/>
    <n v="18234"/>
    <n v="6"/>
    <n v="7.8100000620000003"/>
    <n v="1"/>
    <n v="85"/>
    <n v="77.189999938"/>
    <n v="3.2905561039815728E-4"/>
    <n v="0.17"/>
    <n v="1.301666677"/>
    <n v="7.8100000620000003"/>
    <n v="9.8834826280696646"/>
  </r>
  <r>
    <n v="781207"/>
    <s v="Campanha B"/>
    <x v="1"/>
    <x v="1"/>
    <x v="21"/>
    <n v="2755"/>
    <n v="0"/>
    <n v="0"/>
    <n v="0"/>
    <n v="0"/>
    <n v="0"/>
    <n v="0"/>
    <n v="0"/>
    <n v="0"/>
    <n v="0"/>
    <n v="0"/>
  </r>
  <r>
    <n v="781303"/>
    <s v="Campanha B"/>
    <x v="1"/>
    <x v="1"/>
    <x v="5"/>
    <n v="73676"/>
    <n v="20"/>
    <n v="28.5"/>
    <n v="1"/>
    <n v="85"/>
    <n v="56.5"/>
    <n v="2.7145881969705196E-4"/>
    <n v="0.05"/>
    <n v="1.425"/>
    <n v="28.5"/>
    <n v="1.9824561403508771"/>
  </r>
  <r>
    <n v="781305"/>
    <s v="Campanha B"/>
    <x v="1"/>
    <x v="1"/>
    <x v="5"/>
    <n v="18421"/>
    <n v="7"/>
    <n v="10.079999920000001"/>
    <n v="1"/>
    <n v="85"/>
    <n v="74.920000079999994"/>
    <n v="3.8000108571738776E-4"/>
    <n v="0.14000000000000001"/>
    <n v="1.4399999885714287"/>
    <n v="10.079999920000001"/>
    <n v="7.4325397494645999"/>
  </r>
  <r>
    <n v="781327"/>
    <s v="Campanha B"/>
    <x v="1"/>
    <x v="1"/>
    <x v="4"/>
    <n v="164754"/>
    <n v="49"/>
    <n v="67.97999978"/>
    <n v="3"/>
    <n v="255"/>
    <n v="187.02000021999999"/>
    <n v="2.9741311288345048E-4"/>
    <n v="0.06"/>
    <n v="1.3873469342857143"/>
    <n v="22.659999926666668"/>
    <n v="2.7511032778058651"/>
  </r>
  <r>
    <n v="781353"/>
    <s v="Campanha B"/>
    <x v="1"/>
    <x v="1"/>
    <x v="16"/>
    <n v="7449"/>
    <n v="1"/>
    <n v="1.6399999860000001"/>
    <n v="2"/>
    <n v="170"/>
    <n v="168.36000001400001"/>
    <n v="1.3424620754463686E-4"/>
    <n v="2"/>
    <n v="1.6399999860000001"/>
    <n v="0.81999999300000004"/>
    <n v="102.65853747025581"/>
  </r>
  <r>
    <n v="781354"/>
    <s v="Campanha B"/>
    <x v="1"/>
    <x v="1"/>
    <x v="16"/>
    <n v="6424"/>
    <n v="1"/>
    <n v="0.52999997099999996"/>
    <n v="1"/>
    <n v="85"/>
    <n v="84.470000029000005"/>
    <n v="1.5566625155666251E-4"/>
    <n v="1"/>
    <n v="0.52999997099999996"/>
    <n v="0.52999997099999996"/>
    <n v="159.37736726593144"/>
  </r>
  <r>
    <n v="781438"/>
    <s v="Campanha B"/>
    <x v="0"/>
    <x v="0"/>
    <x v="13"/>
    <n v="2086"/>
    <n v="0"/>
    <n v="0"/>
    <n v="0"/>
    <n v="0"/>
    <n v="0"/>
    <n v="0"/>
    <n v="0"/>
    <n v="0"/>
    <n v="0"/>
    <n v="0"/>
  </r>
  <r>
    <n v="781470"/>
    <s v="Campanha B"/>
    <x v="1"/>
    <x v="0"/>
    <x v="1"/>
    <n v="6016"/>
    <n v="0"/>
    <n v="0"/>
    <n v="0"/>
    <n v="0"/>
    <n v="0"/>
    <n v="0"/>
    <n v="0"/>
    <n v="0"/>
    <n v="0"/>
    <n v="0"/>
  </r>
  <r>
    <n v="781499"/>
    <s v="Campanha B"/>
    <x v="1"/>
    <x v="0"/>
    <x v="0"/>
    <n v="6412"/>
    <n v="1"/>
    <n v="1.3700000050000001"/>
    <n v="1"/>
    <n v="85"/>
    <n v="83.629999995000006"/>
    <n v="1.5595757953836556E-4"/>
    <n v="1"/>
    <n v="1.3700000050000001"/>
    <n v="1.3700000050000001"/>
    <n v="61.043795394000746"/>
  </r>
  <r>
    <n v="781508"/>
    <s v="Campanha B"/>
    <x v="0"/>
    <x v="1"/>
    <x v="13"/>
    <n v="5040"/>
    <n v="1"/>
    <n v="1.440000057"/>
    <n v="1"/>
    <n v="85"/>
    <n v="83.559999942999994"/>
    <n v="1.9841269841269841E-4"/>
    <n v="1"/>
    <n v="1.440000057"/>
    <n v="1.440000057"/>
    <n v="58.02777544126166"/>
  </r>
  <r>
    <n v="781556"/>
    <s v="Campanha B"/>
    <x v="0"/>
    <x v="1"/>
    <x v="11"/>
    <n v="1772"/>
    <n v="0"/>
    <n v="0"/>
    <n v="0"/>
    <n v="0"/>
    <n v="0"/>
    <n v="0"/>
    <n v="0"/>
    <n v="0"/>
    <n v="0"/>
    <n v="0"/>
  </r>
  <r>
    <n v="781559"/>
    <s v="Campanha B"/>
    <x v="0"/>
    <x v="1"/>
    <x v="11"/>
    <n v="1783"/>
    <n v="0"/>
    <n v="0"/>
    <n v="0"/>
    <n v="0"/>
    <n v="0"/>
    <n v="0"/>
    <n v="0"/>
    <n v="0"/>
    <n v="0"/>
    <n v="0"/>
  </r>
  <r>
    <n v="781606"/>
    <s v="Campanha B"/>
    <x v="1"/>
    <x v="0"/>
    <x v="2"/>
    <n v="8200"/>
    <n v="3"/>
    <n v="3.9199999569999999"/>
    <n v="1"/>
    <n v="85"/>
    <n v="81.080000042999998"/>
    <n v="3.6585365853658537E-4"/>
    <n v="0.33"/>
    <n v="1.3066666523333332"/>
    <n v="3.9199999569999999"/>
    <n v="20.683673707244381"/>
  </r>
  <r>
    <n v="781690"/>
    <s v="Campanha B"/>
    <x v="3"/>
    <x v="1"/>
    <x v="18"/>
    <n v="115896"/>
    <n v="38"/>
    <n v="49.440000060000003"/>
    <n v="1"/>
    <n v="85"/>
    <n v="35.559999939999997"/>
    <n v="3.2788016842686546E-4"/>
    <n v="0.03"/>
    <n v="1.3010526331578949"/>
    <n v="49.440000060000003"/>
    <n v="0.71925566134394525"/>
  </r>
  <r>
    <n v="781811"/>
    <s v="Campanha B"/>
    <x v="1"/>
    <x v="1"/>
    <x v="1"/>
    <n v="10186"/>
    <n v="1"/>
    <n v="1.230000019"/>
    <n v="2"/>
    <n v="170"/>
    <n v="168.76999998100001"/>
    <n v="9.8173964264677014E-5"/>
    <n v="2"/>
    <n v="1.230000019"/>
    <n v="0.6150000095"/>
    <n v="137.21137997884861"/>
  </r>
  <r>
    <n v="781857"/>
    <s v="Campanha B"/>
    <x v="0"/>
    <x v="0"/>
    <x v="2"/>
    <n v="9134"/>
    <n v="3"/>
    <n v="4.1800000669999999"/>
    <n v="2"/>
    <n v="170"/>
    <n v="165.81999993299999"/>
    <n v="3.2844317932997593E-4"/>
    <n v="0.67"/>
    <n v="1.3933333556666667"/>
    <n v="2.0900000335"/>
    <n v="39.669855807444897"/>
  </r>
  <r>
    <n v="781858"/>
    <s v="Campanha B"/>
    <x v="0"/>
    <x v="0"/>
    <x v="2"/>
    <n v="3385"/>
    <n v="1"/>
    <n v="1.440000057"/>
    <n v="2"/>
    <n v="170"/>
    <n v="168.55999994300001"/>
    <n v="2.9542097488921711E-4"/>
    <n v="2"/>
    <n v="1.440000057"/>
    <n v="0.7200000285"/>
    <n v="117.05555088252333"/>
  </r>
  <r>
    <n v="781907"/>
    <s v="Campanha B"/>
    <x v="3"/>
    <x v="1"/>
    <x v="10"/>
    <n v="1314"/>
    <n v="0"/>
    <n v="0"/>
    <n v="0"/>
    <n v="0"/>
    <n v="0"/>
    <n v="0"/>
    <n v="0"/>
    <n v="0"/>
    <n v="0"/>
    <n v="0"/>
  </r>
  <r>
    <n v="781928"/>
    <s v="Campanha B"/>
    <x v="0"/>
    <x v="0"/>
    <x v="12"/>
    <n v="2916"/>
    <n v="0"/>
    <n v="0"/>
    <n v="0"/>
    <n v="0"/>
    <n v="0"/>
    <n v="0"/>
    <n v="0"/>
    <n v="0"/>
    <n v="0"/>
    <n v="0"/>
  </r>
  <r>
    <n v="781929"/>
    <s v="Campanha B"/>
    <x v="0"/>
    <x v="0"/>
    <x v="12"/>
    <n v="6142"/>
    <n v="1"/>
    <n v="1.3300000430000001"/>
    <n v="1"/>
    <n v="85"/>
    <n v="83.669999957000002"/>
    <n v="1.6281341582546403E-4"/>
    <n v="1"/>
    <n v="1.3300000430000001"/>
    <n v="1.3300000430000001"/>
    <n v="62.909772369834428"/>
  </r>
  <r>
    <n v="781950"/>
    <s v="Campanha B"/>
    <x v="0"/>
    <x v="1"/>
    <x v="2"/>
    <n v="1984"/>
    <n v="0"/>
    <n v="0"/>
    <n v="0"/>
    <n v="0"/>
    <n v="0"/>
    <n v="0"/>
    <n v="0"/>
    <n v="0"/>
    <n v="0"/>
    <n v="0"/>
  </r>
  <r>
    <n v="781999"/>
    <s v="Campanha B"/>
    <x v="0"/>
    <x v="0"/>
    <x v="9"/>
    <n v="9142"/>
    <n v="3"/>
    <n v="3.7499998809999999"/>
    <n v="1"/>
    <n v="85"/>
    <n v="81.250000119000006"/>
    <n v="3.2815576460293154E-4"/>
    <n v="0.33"/>
    <n v="1.2499999603333334"/>
    <n v="3.7499998809999999"/>
    <n v="21.666667385955581"/>
  </r>
  <r>
    <n v="782001"/>
    <s v="Campanha B"/>
    <x v="0"/>
    <x v="0"/>
    <x v="9"/>
    <n v="5475"/>
    <n v="2"/>
    <n v="2.7300000190000002"/>
    <n v="2"/>
    <n v="170"/>
    <n v="167.26999998100001"/>
    <n v="3.6529680365296805E-4"/>
    <n v="1"/>
    <n v="1.3650000095000001"/>
    <n v="1.3650000095000001"/>
    <n v="61.271061837673926"/>
  </r>
  <r>
    <n v="782022"/>
    <s v="Campanha B"/>
    <x v="0"/>
    <x v="1"/>
    <x v="12"/>
    <n v="8254"/>
    <n v="2"/>
    <n v="2.3200000520000001"/>
    <n v="2"/>
    <n v="170"/>
    <n v="167.67999994799999"/>
    <n v="2.4230676035861401E-4"/>
    <n v="1"/>
    <n v="1.1600000260000001"/>
    <n v="1.1600000260000001"/>
    <n v="72.275860426575534"/>
  </r>
  <r>
    <n v="782026"/>
    <s v="Campanha B"/>
    <x v="0"/>
    <x v="1"/>
    <x v="12"/>
    <n v="5704"/>
    <n v="1"/>
    <n v="1.3200000519999999"/>
    <n v="1"/>
    <n v="85"/>
    <n v="83.679999948000003"/>
    <n v="1.7531556802244039E-4"/>
    <n v="1"/>
    <n v="1.3200000519999999"/>
    <n v="1.3200000519999999"/>
    <n v="63.393936857208551"/>
  </r>
  <r>
    <n v="782130"/>
    <s v="Campanha B"/>
    <x v="0"/>
    <x v="1"/>
    <x v="1"/>
    <n v="7301"/>
    <n v="0"/>
    <n v="0"/>
    <n v="0"/>
    <n v="0"/>
    <n v="0"/>
    <n v="0"/>
    <n v="0"/>
    <n v="0"/>
    <n v="0"/>
    <n v="0"/>
  </r>
  <r>
    <n v="782134"/>
    <s v="Campanha B"/>
    <x v="0"/>
    <x v="1"/>
    <x v="1"/>
    <n v="37873"/>
    <n v="5"/>
    <n v="6.1699999569999999"/>
    <n v="2"/>
    <n v="170"/>
    <n v="163.83000004300001"/>
    <n v="1.3202017268238586E-4"/>
    <n v="0.4"/>
    <n v="1.2339999913999999"/>
    <n v="3.0849999785"/>
    <n v="26.552674422166127"/>
  </r>
  <r>
    <n v="782135"/>
    <s v="Campanha B"/>
    <x v="0"/>
    <x v="1"/>
    <x v="1"/>
    <n v="25267"/>
    <n v="4"/>
    <n v="4.9400000569999998"/>
    <n v="3"/>
    <n v="255"/>
    <n v="250.05999994300001"/>
    <n v="1.5830925713381091E-4"/>
    <n v="0.75"/>
    <n v="1.2350000142499999"/>
    <n v="1.6466666856666665"/>
    <n v="50.619432602771731"/>
  </r>
  <r>
    <n v="782171"/>
    <s v="Campanha B"/>
    <x v="0"/>
    <x v="1"/>
    <x v="8"/>
    <n v="535"/>
    <n v="0"/>
    <n v="0"/>
    <n v="0"/>
    <n v="0"/>
    <n v="0"/>
    <n v="0"/>
    <n v="0"/>
    <n v="0"/>
    <n v="0"/>
    <n v="0"/>
  </r>
  <r>
    <n v="782180"/>
    <s v="Campanha B"/>
    <x v="0"/>
    <x v="0"/>
    <x v="4"/>
    <n v="3396"/>
    <n v="0"/>
    <n v="0"/>
    <n v="0"/>
    <n v="0"/>
    <n v="0"/>
    <n v="0"/>
    <n v="0"/>
    <n v="0"/>
    <n v="0"/>
    <n v="0"/>
  </r>
  <r>
    <n v="782219"/>
    <s v="Campanha B"/>
    <x v="0"/>
    <x v="0"/>
    <x v="18"/>
    <n v="977"/>
    <n v="0"/>
    <n v="0"/>
    <n v="0"/>
    <n v="0"/>
    <n v="0"/>
    <n v="0"/>
    <n v="0"/>
    <n v="0"/>
    <n v="0"/>
    <n v="0"/>
  </r>
  <r>
    <n v="782228"/>
    <s v="Campanha B"/>
    <x v="2"/>
    <x v="1"/>
    <x v="13"/>
    <n v="12318"/>
    <n v="5"/>
    <n v="6.3400001530000001"/>
    <n v="2"/>
    <n v="170"/>
    <n v="163.65999984699999"/>
    <n v="4.0591005033284623E-4"/>
    <n v="0.4"/>
    <n v="1.2680000306000001"/>
    <n v="3.1700000765"/>
    <n v="25.813879479097228"/>
  </r>
  <r>
    <n v="782242"/>
    <s v="Campanha B"/>
    <x v="0"/>
    <x v="1"/>
    <x v="3"/>
    <n v="4783"/>
    <n v="1"/>
    <n v="0.86000001400000003"/>
    <n v="1"/>
    <n v="85"/>
    <n v="84.139999986000007"/>
    <n v="2.0907380305247751E-4"/>
    <n v="1"/>
    <n v="0.86000001400000003"/>
    <n v="0.86000001400000003"/>
    <n v="97.837207693347779"/>
  </r>
  <r>
    <n v="782275"/>
    <s v="Campanha B"/>
    <x v="0"/>
    <x v="1"/>
    <x v="4"/>
    <n v="6475"/>
    <n v="1"/>
    <n v="1.3500000240000001"/>
    <n v="1"/>
    <n v="85"/>
    <n v="83.649999976000004"/>
    <n v="1.5444015444015445E-4"/>
    <n v="1"/>
    <n v="1.3500000240000001"/>
    <n v="1.3500000240000001"/>
    <n v="61.962961843621422"/>
  </r>
  <r>
    <n v="782337"/>
    <s v="Campanha B"/>
    <x v="3"/>
    <x v="1"/>
    <x v="1"/>
    <n v="104578"/>
    <n v="29"/>
    <n v="39.25000095"/>
    <n v="2"/>
    <n v="170"/>
    <n v="130.74999904999999"/>
    <n v="2.7730497810246895E-4"/>
    <n v="7.0000000000000007E-2"/>
    <n v="1.3534483086206897"/>
    <n v="19.625000475"/>
    <n v="3.3312100862509655"/>
  </r>
  <r>
    <n v="782407"/>
    <s v="Campanha B"/>
    <x v="3"/>
    <x v="1"/>
    <x v="16"/>
    <n v="33664"/>
    <n v="11"/>
    <n v="12.51000035"/>
    <n v="1"/>
    <n v="85"/>
    <n v="72.489999650000001"/>
    <n v="3.2675855513307982E-4"/>
    <n v="0.09"/>
    <n v="1.1372727590909091"/>
    <n v="12.51000035"/>
    <n v="5.7945641584254632"/>
  </r>
  <r>
    <n v="782443"/>
    <s v="Campanha B"/>
    <x v="2"/>
    <x v="1"/>
    <x v="2"/>
    <n v="979"/>
    <n v="0"/>
    <n v="0"/>
    <n v="0"/>
    <n v="0"/>
    <n v="0"/>
    <n v="0"/>
    <n v="0"/>
    <n v="0"/>
    <n v="0"/>
    <n v="0"/>
  </r>
  <r>
    <n v="782541"/>
    <s v="Campanha B"/>
    <x v="2"/>
    <x v="1"/>
    <x v="3"/>
    <n v="7337"/>
    <n v="3"/>
    <n v="4.079999924"/>
    <n v="1"/>
    <n v="85"/>
    <n v="80.920000075999994"/>
    <n v="4.0888646585798008E-4"/>
    <n v="0.33"/>
    <n v="1.3599999746666667"/>
    <n v="4.079999924"/>
    <n v="19.833333721405236"/>
  </r>
  <r>
    <n v="782587"/>
    <s v="Campanha B"/>
    <x v="0"/>
    <x v="0"/>
    <x v="16"/>
    <n v="2499"/>
    <n v="0"/>
    <n v="0"/>
    <n v="0"/>
    <n v="0"/>
    <n v="0"/>
    <n v="0"/>
    <n v="0"/>
    <n v="0"/>
    <n v="0"/>
    <n v="0"/>
  </r>
  <r>
    <n v="782647"/>
    <s v="Campanha B"/>
    <x v="2"/>
    <x v="1"/>
    <x v="5"/>
    <n v="11244"/>
    <n v="3"/>
    <n v="4.5500001909999996"/>
    <n v="1"/>
    <n v="85"/>
    <n v="80.449999809000005"/>
    <n v="2.6680896478121667E-4"/>
    <n v="0.33"/>
    <n v="1.5166667303333332"/>
    <n v="4.5500001909999996"/>
    <n v="17.68131789711391"/>
  </r>
  <r>
    <n v="782658"/>
    <s v="Campanha B"/>
    <x v="0"/>
    <x v="0"/>
    <x v="0"/>
    <n v="4827"/>
    <n v="0"/>
    <n v="0"/>
    <n v="0"/>
    <n v="0"/>
    <n v="0"/>
    <n v="0"/>
    <n v="0"/>
    <n v="0"/>
    <n v="0"/>
    <n v="0"/>
  </r>
  <r>
    <n v="782694"/>
    <s v="Campanha B"/>
    <x v="1"/>
    <x v="1"/>
    <x v="4"/>
    <n v="29035"/>
    <n v="7"/>
    <n v="8.9100000860000002"/>
    <n v="4"/>
    <n v="340"/>
    <n v="331.08999991399997"/>
    <n v="2.4108834165662132E-4"/>
    <n v="0.56999999999999995"/>
    <n v="1.2728571551428571"/>
    <n v="2.2275000215"/>
    <n v="37.159371124387661"/>
  </r>
  <r>
    <n v="782706"/>
    <s v="Campanha B"/>
    <x v="1"/>
    <x v="1"/>
    <x v="8"/>
    <n v="761"/>
    <n v="0"/>
    <n v="0"/>
    <n v="0"/>
    <n v="0"/>
    <n v="0"/>
    <n v="0"/>
    <n v="0"/>
    <n v="0"/>
    <n v="0"/>
    <n v="0"/>
  </r>
  <r>
    <n v="782754"/>
    <s v="Campanha B"/>
    <x v="1"/>
    <x v="1"/>
    <x v="18"/>
    <n v="6532"/>
    <n v="1"/>
    <n v="1.6100000139999999"/>
    <n v="1"/>
    <n v="85"/>
    <n v="83.389999986000007"/>
    <n v="1.5309246785058175E-4"/>
    <n v="1"/>
    <n v="1.6100000139999999"/>
    <n v="1.6100000139999999"/>
    <n v="51.795030596813405"/>
  </r>
  <r>
    <n v="782815"/>
    <s v="Campanha B"/>
    <x v="2"/>
    <x v="1"/>
    <x v="16"/>
    <n v="11537"/>
    <n v="3"/>
    <n v="4.3000001909999996"/>
    <n v="1"/>
    <n v="85"/>
    <n v="80.699999809000005"/>
    <n v="2.6003293750541737E-4"/>
    <n v="0.33"/>
    <n v="1.433333397"/>
    <n v="4.3000001909999996"/>
    <n v="18.767440982422972"/>
  </r>
  <r>
    <n v="782816"/>
    <s v="Campanha B"/>
    <x v="2"/>
    <x v="1"/>
    <x v="16"/>
    <n v="12183"/>
    <n v="3"/>
    <n v="2.869999945"/>
    <n v="1"/>
    <n v="85"/>
    <n v="82.130000054999996"/>
    <n v="2.4624476729869491E-4"/>
    <n v="0.33"/>
    <n v="0.95666664833333337"/>
    <n v="2.869999945"/>
    <n v="28.616725306243865"/>
  </r>
  <r>
    <n v="782862"/>
    <s v="Campanha B"/>
    <x v="1"/>
    <x v="1"/>
    <x v="21"/>
    <n v="5912"/>
    <n v="1"/>
    <n v="1.559999943"/>
    <n v="2"/>
    <n v="170"/>
    <n v="168.44000005699999"/>
    <n v="1.6914749661705008E-4"/>
    <n v="2"/>
    <n v="1.559999943"/>
    <n v="0.7799999715"/>
    <n v="107.97436295611453"/>
  </r>
  <r>
    <n v="950068"/>
    <s v="Campanha B"/>
    <x v="0"/>
    <x v="0"/>
    <x v="16"/>
    <n v="4012"/>
    <n v="1"/>
    <n v="1.5700000519999999"/>
    <n v="1"/>
    <n v="85"/>
    <n v="83.429999948000003"/>
    <n v="2.4925224327018941E-4"/>
    <n v="1"/>
    <n v="1.5700000519999999"/>
    <n v="1.5700000519999999"/>
    <n v="53.140125595358903"/>
  </r>
  <r>
    <n v="950078"/>
    <s v="Campanha B"/>
    <x v="0"/>
    <x v="0"/>
    <x v="1"/>
    <n v="12396"/>
    <n v="2"/>
    <n v="3.210000038"/>
    <n v="3"/>
    <n v="255"/>
    <n v="251.789999962"/>
    <n v="1.6134236850596966E-4"/>
    <n v="1.5"/>
    <n v="1.605000019"/>
    <n v="1.0700000126666667"/>
    <n v="78.439251396046245"/>
  </r>
  <r>
    <n v="950079"/>
    <s v="Campanha B"/>
    <x v="0"/>
    <x v="0"/>
    <x v="1"/>
    <n v="3142"/>
    <n v="0"/>
    <n v="0"/>
    <n v="0"/>
    <n v="0"/>
    <n v="0"/>
    <n v="0"/>
    <n v="0"/>
    <n v="0"/>
    <n v="0"/>
    <n v="0"/>
  </r>
  <r>
    <n v="950099"/>
    <s v="Campanha B"/>
    <x v="0"/>
    <x v="0"/>
    <x v="12"/>
    <n v="1120"/>
    <n v="0"/>
    <n v="0"/>
    <n v="0"/>
    <n v="0"/>
    <n v="0"/>
    <n v="0"/>
    <n v="0"/>
    <n v="0"/>
    <n v="0"/>
    <n v="0"/>
  </r>
  <r>
    <n v="950109"/>
    <s v="Campanha B"/>
    <x v="0"/>
    <x v="0"/>
    <x v="2"/>
    <n v="343"/>
    <n v="0"/>
    <n v="0"/>
    <n v="0"/>
    <n v="0"/>
    <n v="0"/>
    <n v="0"/>
    <n v="0"/>
    <n v="0"/>
    <n v="0"/>
    <n v="0"/>
  </r>
  <r>
    <n v="950170"/>
    <s v="Campanha B"/>
    <x v="0"/>
    <x v="0"/>
    <x v="0"/>
    <n v="1720"/>
    <n v="0"/>
    <n v="0"/>
    <n v="0"/>
    <n v="0"/>
    <n v="0"/>
    <n v="0"/>
    <n v="0"/>
    <n v="0"/>
    <n v="0"/>
    <n v="0"/>
  </r>
  <r>
    <n v="950179"/>
    <s v="Campanha B"/>
    <x v="0"/>
    <x v="0"/>
    <x v="1"/>
    <n v="3423"/>
    <n v="0"/>
    <n v="0"/>
    <n v="0"/>
    <n v="0"/>
    <n v="0"/>
    <n v="0"/>
    <n v="0"/>
    <n v="0"/>
    <n v="0"/>
    <n v="0"/>
  </r>
  <r>
    <n v="950182"/>
    <s v="Campanha B"/>
    <x v="0"/>
    <x v="0"/>
    <x v="1"/>
    <n v="3242"/>
    <n v="0"/>
    <n v="0"/>
    <n v="0"/>
    <n v="0"/>
    <n v="0"/>
    <n v="0"/>
    <n v="0"/>
    <n v="0"/>
    <n v="0"/>
    <n v="0"/>
  </r>
  <r>
    <n v="950183"/>
    <s v="Campanha B"/>
    <x v="0"/>
    <x v="0"/>
    <x v="1"/>
    <n v="15720"/>
    <n v="1"/>
    <n v="1.3799999949999999"/>
    <n v="1"/>
    <n v="85"/>
    <n v="83.620000004999994"/>
    <n v="6.3613231552162849E-5"/>
    <n v="1"/>
    <n v="1.3799999949999999"/>
    <n v="1.3799999949999999"/>
    <n v="60.594203121718124"/>
  </r>
  <r>
    <n v="950200"/>
    <s v="Campanha B"/>
    <x v="0"/>
    <x v="0"/>
    <x v="16"/>
    <n v="1217"/>
    <n v="0"/>
    <n v="0"/>
    <n v="0"/>
    <n v="0"/>
    <n v="0"/>
    <n v="0"/>
    <n v="0"/>
    <n v="0"/>
    <n v="0"/>
    <n v="0"/>
  </r>
  <r>
    <n v="950224"/>
    <s v="Campanha B"/>
    <x v="2"/>
    <x v="0"/>
    <x v="2"/>
    <n v="2367"/>
    <n v="2"/>
    <n v="2.8399999139999998"/>
    <n v="2"/>
    <n v="170"/>
    <n v="167.160000086"/>
    <n v="8.449514152936206E-4"/>
    <n v="1"/>
    <n v="1.4199999569999999"/>
    <n v="1.4199999569999999"/>
    <n v="58.859156742213905"/>
  </r>
  <r>
    <n v="950326"/>
    <s v="Campanha B"/>
    <x v="1"/>
    <x v="0"/>
    <x v="1"/>
    <n v="6607"/>
    <n v="1"/>
    <n v="1.3200000519999999"/>
    <n v="2"/>
    <n v="170"/>
    <n v="168.67999994799999"/>
    <n v="1.5135462388375965E-4"/>
    <n v="2"/>
    <n v="1.3200000519999999"/>
    <n v="0.66000002599999996"/>
    <n v="127.78787371441709"/>
  </r>
  <r>
    <n v="950345"/>
    <s v="Campanha B"/>
    <x v="0"/>
    <x v="0"/>
    <x v="21"/>
    <n v="616"/>
    <n v="0"/>
    <n v="0"/>
    <n v="0"/>
    <n v="0"/>
    <n v="0"/>
    <n v="0"/>
    <n v="0"/>
    <n v="0"/>
    <n v="0"/>
    <n v="0"/>
  </r>
  <r>
    <n v="950452"/>
    <s v="Campanha B"/>
    <x v="3"/>
    <x v="0"/>
    <x v="1"/>
    <n v="5537"/>
    <n v="1"/>
    <n v="1.519999981"/>
    <n v="1"/>
    <n v="85"/>
    <n v="83.480000019000002"/>
    <n v="1.8060321473722233E-4"/>
    <n v="1"/>
    <n v="1.519999981"/>
    <n v="1.519999981"/>
    <n v="54.921053330592116"/>
  </r>
  <r>
    <n v="950463"/>
    <s v="Campanha B"/>
    <x v="3"/>
    <x v="0"/>
    <x v="0"/>
    <n v="818"/>
    <n v="0"/>
    <n v="0"/>
    <n v="0"/>
    <n v="0"/>
    <n v="0"/>
    <n v="0"/>
    <n v="0"/>
    <n v="0"/>
    <n v="0"/>
    <n v="0"/>
  </r>
  <r>
    <n v="950495"/>
    <s v="Campanha B"/>
    <x v="3"/>
    <x v="0"/>
    <x v="10"/>
    <n v="1909"/>
    <n v="1"/>
    <n v="0.980000019"/>
    <n v="1"/>
    <n v="85"/>
    <n v="84.019999980999998"/>
    <n v="5.2383446830801469E-4"/>
    <n v="1"/>
    <n v="0.980000019"/>
    <n v="0.980000019"/>
    <n v="85.734692195960051"/>
  </r>
  <r>
    <n v="950521"/>
    <s v="Campanha B"/>
    <x v="0"/>
    <x v="0"/>
    <x v="10"/>
    <n v="351"/>
    <n v="0"/>
    <n v="0"/>
    <n v="0"/>
    <n v="0"/>
    <n v="0"/>
    <n v="0"/>
    <n v="0"/>
    <n v="0"/>
    <n v="0"/>
    <n v="0"/>
  </r>
  <r>
    <n v="950531"/>
    <s v="Campanha B"/>
    <x v="3"/>
    <x v="0"/>
    <x v="22"/>
    <n v="572"/>
    <n v="0"/>
    <n v="0"/>
    <n v="0"/>
    <n v="0"/>
    <n v="0"/>
    <n v="0"/>
    <n v="0"/>
    <n v="0"/>
    <n v="0"/>
    <n v="0"/>
  </r>
  <r>
    <n v="950537"/>
    <s v="Campanha B"/>
    <x v="2"/>
    <x v="0"/>
    <x v="19"/>
    <n v="1884"/>
    <n v="1"/>
    <n v="1.4099999670000001"/>
    <n v="1"/>
    <n v="85"/>
    <n v="83.590000032999995"/>
    <n v="5.3078556263269638E-4"/>
    <n v="1"/>
    <n v="1.4099999670000001"/>
    <n v="1.4099999670000001"/>
    <n v="59.283689354157261"/>
  </r>
  <r>
    <n v="950550"/>
    <s v="Campanha B"/>
    <x v="0"/>
    <x v="0"/>
    <x v="8"/>
    <n v="219"/>
    <n v="0"/>
    <n v="0"/>
    <n v="0"/>
    <n v="0"/>
    <n v="0"/>
    <n v="0"/>
    <n v="0"/>
    <n v="0"/>
    <n v="0"/>
    <n v="0"/>
  </r>
  <r>
    <n v="950577"/>
    <s v="Campanha B"/>
    <x v="0"/>
    <x v="0"/>
    <x v="11"/>
    <n v="540"/>
    <n v="0"/>
    <n v="0"/>
    <n v="0"/>
    <n v="0"/>
    <n v="0"/>
    <n v="0"/>
    <n v="0"/>
    <n v="0"/>
    <n v="0"/>
    <n v="0"/>
  </r>
  <r>
    <n v="950578"/>
    <s v="Campanha B"/>
    <x v="0"/>
    <x v="0"/>
    <x v="11"/>
    <n v="550"/>
    <n v="0"/>
    <n v="0"/>
    <n v="0"/>
    <n v="0"/>
    <n v="0"/>
    <n v="0"/>
    <n v="0"/>
    <n v="0"/>
    <n v="0"/>
    <n v="0"/>
  </r>
  <r>
    <n v="950595"/>
    <s v="Campanha B"/>
    <x v="0"/>
    <x v="0"/>
    <x v="18"/>
    <n v="465"/>
    <n v="0"/>
    <n v="0"/>
    <n v="0"/>
    <n v="0"/>
    <n v="0"/>
    <n v="0"/>
    <n v="0"/>
    <n v="0"/>
    <n v="0"/>
    <n v="0"/>
  </r>
  <r>
    <n v="950609"/>
    <s v="Campanha B"/>
    <x v="0"/>
    <x v="0"/>
    <x v="4"/>
    <n v="1761"/>
    <n v="0"/>
    <n v="0"/>
    <n v="0"/>
    <n v="0"/>
    <n v="0"/>
    <n v="0"/>
    <n v="0"/>
    <n v="0"/>
    <n v="0"/>
    <n v="0"/>
  </r>
  <r>
    <n v="950629"/>
    <s v="Campanha B"/>
    <x v="0"/>
    <x v="0"/>
    <x v="14"/>
    <n v="152"/>
    <n v="0"/>
    <n v="0"/>
    <n v="0"/>
    <n v="0"/>
    <n v="0"/>
    <n v="0"/>
    <n v="0"/>
    <n v="0"/>
    <n v="0"/>
    <n v="0"/>
  </r>
  <r>
    <n v="950631"/>
    <s v="Campanha B"/>
    <x v="0"/>
    <x v="0"/>
    <x v="14"/>
    <n v="152"/>
    <n v="0"/>
    <n v="0"/>
    <n v="0"/>
    <n v="0"/>
    <n v="0"/>
    <n v="0"/>
    <n v="0"/>
    <n v="0"/>
    <n v="0"/>
    <n v="0"/>
  </r>
  <r>
    <n v="950649"/>
    <s v="Campanha B"/>
    <x v="0"/>
    <x v="0"/>
    <x v="21"/>
    <n v="429"/>
    <n v="0"/>
    <n v="0"/>
    <n v="0"/>
    <n v="0"/>
    <n v="0"/>
    <n v="0"/>
    <n v="0"/>
    <n v="0"/>
    <n v="0"/>
    <n v="0"/>
  </r>
  <r>
    <n v="950745"/>
    <s v="Campanha B"/>
    <x v="0"/>
    <x v="0"/>
    <x v="4"/>
    <n v="1514"/>
    <n v="0"/>
    <n v="0"/>
    <n v="0"/>
    <n v="0"/>
    <n v="0"/>
    <n v="0"/>
    <n v="0"/>
    <n v="0"/>
    <n v="0"/>
    <n v="0"/>
  </r>
  <r>
    <n v="950770"/>
    <s v="Campanha B"/>
    <x v="0"/>
    <x v="0"/>
    <x v="3"/>
    <n v="7780"/>
    <n v="3"/>
    <n v="4.329999924"/>
    <n v="4"/>
    <n v="340"/>
    <n v="335.67000007600001"/>
    <n v="3.8560411311053987E-4"/>
    <n v="1.33"/>
    <n v="1.4433333079999999"/>
    <n v="1.082499981"/>
    <n v="77.521941332024838"/>
  </r>
  <r>
    <n v="950772"/>
    <s v="Campanha B"/>
    <x v="1"/>
    <x v="0"/>
    <x v="3"/>
    <n v="460"/>
    <n v="0"/>
    <n v="0"/>
    <n v="0"/>
    <n v="0"/>
    <n v="0"/>
    <n v="0"/>
    <n v="0"/>
    <n v="0"/>
    <n v="0"/>
    <n v="0"/>
  </r>
  <r>
    <n v="950773"/>
    <s v="Campanha B"/>
    <x v="1"/>
    <x v="0"/>
    <x v="3"/>
    <n v="471"/>
    <n v="0"/>
    <n v="0"/>
    <n v="0"/>
    <n v="0"/>
    <n v="0"/>
    <n v="0"/>
    <n v="0"/>
    <n v="0"/>
    <n v="0"/>
    <n v="0"/>
  </r>
  <r>
    <n v="950776"/>
    <s v="Campanha B"/>
    <x v="1"/>
    <x v="0"/>
    <x v="3"/>
    <n v="2633"/>
    <n v="1"/>
    <n v="1.0700000519999999"/>
    <n v="1"/>
    <n v="85"/>
    <n v="83.929999948000003"/>
    <n v="3.7979491074819596E-4"/>
    <n v="1"/>
    <n v="1.0700000519999999"/>
    <n v="1.0700000519999999"/>
    <n v="78.43924847584961"/>
  </r>
  <r>
    <n v="950787"/>
    <s v="Campanha B"/>
    <x v="0"/>
    <x v="0"/>
    <x v="5"/>
    <n v="199"/>
    <n v="0"/>
    <n v="0"/>
    <n v="0"/>
    <n v="0"/>
    <n v="0"/>
    <n v="0"/>
    <n v="0"/>
    <n v="0"/>
    <n v="0"/>
    <n v="0"/>
  </r>
  <r>
    <n v="950808"/>
    <s v="Campanha B"/>
    <x v="1"/>
    <x v="0"/>
    <x v="11"/>
    <n v="398"/>
    <n v="0"/>
    <n v="0"/>
    <n v="0"/>
    <n v="0"/>
    <n v="0"/>
    <n v="0"/>
    <n v="0"/>
    <n v="0"/>
    <n v="0"/>
    <n v="0"/>
  </r>
  <r>
    <n v="950839"/>
    <s v="Campanha B"/>
    <x v="0"/>
    <x v="0"/>
    <x v="9"/>
    <n v="246"/>
    <n v="0"/>
    <n v="0"/>
    <n v="0"/>
    <n v="0"/>
    <n v="0"/>
    <n v="0"/>
    <n v="0"/>
    <n v="0"/>
    <n v="0"/>
    <n v="0"/>
  </r>
  <r>
    <n v="950878"/>
    <s v="Campanha B"/>
    <x v="2"/>
    <x v="0"/>
    <x v="16"/>
    <n v="2967"/>
    <n v="1"/>
    <n v="1.5"/>
    <n v="2"/>
    <n v="170"/>
    <n v="168.5"/>
    <n v="3.370407819346141E-4"/>
    <n v="2"/>
    <n v="1.5"/>
    <n v="0.75"/>
    <n v="112.33333333333333"/>
  </r>
  <r>
    <n v="950969"/>
    <s v="Campanha B"/>
    <x v="3"/>
    <x v="0"/>
    <x v="19"/>
    <n v="255"/>
    <n v="0"/>
    <n v="0"/>
    <n v="0"/>
    <n v="0"/>
    <n v="0"/>
    <n v="0"/>
    <n v="0"/>
    <n v="0"/>
    <n v="0"/>
    <n v="0"/>
  </r>
  <r>
    <n v="951021"/>
    <s v="Campanha B"/>
    <x v="0"/>
    <x v="1"/>
    <x v="7"/>
    <n v="457"/>
    <n v="0"/>
    <n v="0"/>
    <n v="0"/>
    <n v="0"/>
    <n v="0"/>
    <n v="0"/>
    <n v="0"/>
    <n v="0"/>
    <n v="0"/>
    <n v="0"/>
  </r>
  <r>
    <n v="951033"/>
    <s v="Campanha B"/>
    <x v="0"/>
    <x v="1"/>
    <x v="16"/>
    <n v="5517"/>
    <n v="1"/>
    <n v="1.230000019"/>
    <n v="1"/>
    <n v="85"/>
    <n v="83.769999980999998"/>
    <n v="1.8125793003443902E-4"/>
    <n v="1"/>
    <n v="1.230000019"/>
    <n v="1.230000019"/>
    <n v="68.105689989424306"/>
  </r>
  <r>
    <n v="951035"/>
    <s v="Campanha B"/>
    <x v="0"/>
    <x v="1"/>
    <x v="16"/>
    <n v="1539"/>
    <n v="0"/>
    <n v="0"/>
    <n v="0"/>
    <n v="0"/>
    <n v="0"/>
    <n v="0"/>
    <n v="0"/>
    <n v="0"/>
    <n v="0"/>
    <n v="0"/>
  </r>
  <r>
    <n v="951043"/>
    <s v="Campanha B"/>
    <x v="0"/>
    <x v="1"/>
    <x v="1"/>
    <n v="3189"/>
    <n v="0"/>
    <n v="0"/>
    <n v="0"/>
    <n v="0"/>
    <n v="0"/>
    <n v="0"/>
    <n v="0"/>
    <n v="0"/>
    <n v="0"/>
    <n v="0"/>
  </r>
  <r>
    <n v="951045"/>
    <s v="Campanha B"/>
    <x v="0"/>
    <x v="1"/>
    <x v="1"/>
    <n v="3348"/>
    <n v="0"/>
    <n v="0"/>
    <n v="0"/>
    <n v="0"/>
    <n v="0"/>
    <n v="0"/>
    <n v="0"/>
    <n v="0"/>
    <n v="0"/>
    <n v="0"/>
  </r>
  <r>
    <n v="951046"/>
    <s v="Campanha B"/>
    <x v="0"/>
    <x v="1"/>
    <x v="1"/>
    <n v="20050"/>
    <n v="4"/>
    <n v="4.6599998469999999"/>
    <n v="5"/>
    <n v="425"/>
    <n v="420.34000015300001"/>
    <n v="1.9950124688279303E-4"/>
    <n v="1.25"/>
    <n v="1.16499996175"/>
    <n v="0.93199996939999996"/>
    <n v="90.201719732588657"/>
  </r>
  <r>
    <n v="951102"/>
    <s v="Campanha B"/>
    <x v="3"/>
    <x v="0"/>
    <x v="1"/>
    <n v="2254"/>
    <n v="0"/>
    <n v="0"/>
    <n v="0"/>
    <n v="0"/>
    <n v="0"/>
    <n v="0"/>
    <n v="0"/>
    <n v="0"/>
    <n v="0"/>
    <n v="0"/>
  </r>
  <r>
    <n v="951105"/>
    <s v="Campanha B"/>
    <x v="3"/>
    <x v="0"/>
    <x v="1"/>
    <n v="5894"/>
    <n v="1"/>
    <n v="1.539999962"/>
    <n v="2"/>
    <n v="170"/>
    <n v="168.460000038"/>
    <n v="1.6966406515100103E-4"/>
    <n v="2"/>
    <n v="1.539999962"/>
    <n v="0.769999981"/>
    <n v="109.38961311350994"/>
  </r>
  <r>
    <n v="951133"/>
    <s v="Campanha B"/>
    <x v="1"/>
    <x v="0"/>
    <x v="1"/>
    <n v="9948"/>
    <n v="2"/>
    <n v="2.7200000289999999"/>
    <n v="2"/>
    <n v="170"/>
    <n v="167.279999971"/>
    <n v="2.010454362685967E-4"/>
    <n v="1"/>
    <n v="1.3600000145"/>
    <n v="1.3600000145"/>
    <n v="61.499999333639714"/>
  </r>
  <r>
    <n v="951202"/>
    <s v="Campanha B"/>
    <x v="3"/>
    <x v="1"/>
    <x v="18"/>
    <n v="5307"/>
    <n v="3"/>
    <n v="4.2899999619999996"/>
    <n v="3"/>
    <n v="255"/>
    <n v="250.710000038"/>
    <n v="5.6529112492933857E-4"/>
    <n v="1"/>
    <n v="1.4299999873333331"/>
    <n v="1.4299999873333331"/>
    <n v="58.440559967072566"/>
  </r>
  <r>
    <n v="951225"/>
    <s v="Campanha B"/>
    <x v="1"/>
    <x v="1"/>
    <x v="22"/>
    <n v="4621"/>
    <n v="2"/>
    <n v="3.25"/>
    <n v="2"/>
    <n v="170"/>
    <n v="166.75"/>
    <n v="4.3280675178532783E-4"/>
    <n v="1"/>
    <n v="1.625"/>
    <n v="1.625"/>
    <n v="51.307692307692307"/>
  </r>
  <r>
    <n v="951270"/>
    <s v="Campanha B"/>
    <x v="1"/>
    <x v="1"/>
    <x v="12"/>
    <n v="784"/>
    <n v="0"/>
    <n v="0"/>
    <n v="0"/>
    <n v="0"/>
    <n v="0"/>
    <n v="0"/>
    <n v="0"/>
    <n v="0"/>
    <n v="0"/>
    <n v="0"/>
  </r>
  <r>
    <n v="951282"/>
    <s v="Campanha B"/>
    <x v="1"/>
    <x v="1"/>
    <x v="1"/>
    <n v="5775"/>
    <n v="1"/>
    <n v="1.5800000430000001"/>
    <n v="2"/>
    <n v="170"/>
    <n v="168.41999995699999"/>
    <n v="1.7316017316017316E-4"/>
    <n v="2"/>
    <n v="1.5800000430000001"/>
    <n v="0.79000002150000004"/>
    <n v="106.5949337806442"/>
  </r>
  <r>
    <n v="951285"/>
    <s v="Campanha B"/>
    <x v="1"/>
    <x v="1"/>
    <x v="1"/>
    <n v="9297"/>
    <n v="2"/>
    <n v="2.619999886"/>
    <n v="3"/>
    <n v="255"/>
    <n v="252.38000011400001"/>
    <n v="2.1512315800795956E-4"/>
    <n v="1.5"/>
    <n v="1.309999943"/>
    <n v="0.87333329533333337"/>
    <n v="96.328248509702419"/>
  </r>
  <r>
    <n v="951294"/>
    <s v="Campanha B"/>
    <x v="1"/>
    <x v="1"/>
    <x v="0"/>
    <n v="699"/>
    <n v="0"/>
    <n v="0"/>
    <n v="0"/>
    <n v="0"/>
    <n v="0"/>
    <n v="0"/>
    <n v="0"/>
    <n v="0"/>
    <n v="0"/>
    <n v="0"/>
  </r>
  <r>
    <n v="951305"/>
    <s v="Campanha B"/>
    <x v="1"/>
    <x v="1"/>
    <x v="16"/>
    <n v="1104"/>
    <n v="0"/>
    <n v="0"/>
    <n v="0"/>
    <n v="0"/>
    <n v="0"/>
    <n v="0"/>
    <n v="0"/>
    <n v="0"/>
    <n v="0"/>
    <n v="0"/>
  </r>
  <r>
    <n v="951334"/>
    <s v="Campanha B"/>
    <x v="0"/>
    <x v="1"/>
    <x v="21"/>
    <n v="3717"/>
    <n v="1"/>
    <n v="1.539999962"/>
    <n v="1"/>
    <n v="85"/>
    <n v="83.460000038000004"/>
    <n v="2.6903416733925207E-4"/>
    <n v="1"/>
    <n v="1.539999962"/>
    <n v="1.539999962"/>
    <n v="54.194806556754969"/>
  </r>
  <r>
    <n v="951391"/>
    <s v="Campanha B"/>
    <x v="0"/>
    <x v="1"/>
    <x v="3"/>
    <n v="2879"/>
    <n v="1"/>
    <n v="1.5900000329999999"/>
    <n v="4"/>
    <n v="340"/>
    <n v="338.40999996699998"/>
    <n v="3.4734282737061478E-4"/>
    <n v="4"/>
    <n v="1.5900000329999999"/>
    <n v="0.39750000824999998"/>
    <n v="212.83647354930588"/>
  </r>
  <r>
    <n v="951392"/>
    <s v="Campanha B"/>
    <x v="0"/>
    <x v="1"/>
    <x v="3"/>
    <n v="2749"/>
    <n v="1"/>
    <n v="1.3899999860000001"/>
    <n v="1"/>
    <n v="85"/>
    <n v="83.610000013999993"/>
    <n v="3.6376864314296108E-4"/>
    <n v="1"/>
    <n v="1.3899999860000001"/>
    <n v="1.3899999860000001"/>
    <n v="60.151079752600793"/>
  </r>
  <r>
    <n v="951400"/>
    <s v="Campanha B"/>
    <x v="3"/>
    <x v="1"/>
    <x v="16"/>
    <n v="24028"/>
    <n v="9"/>
    <n v="12.39000034"/>
    <n v="2"/>
    <n v="170"/>
    <n v="157.60999966"/>
    <n v="3.745630098218745E-4"/>
    <n v="0.22"/>
    <n v="1.3766667044444445"/>
    <n v="6.1950001700000001"/>
    <n v="12.720742157784315"/>
  </r>
  <r>
    <n v="951402"/>
    <s v="Campanha B"/>
    <x v="0"/>
    <x v="1"/>
    <x v="4"/>
    <n v="1118"/>
    <n v="0"/>
    <n v="0"/>
    <n v="0"/>
    <n v="0"/>
    <n v="0"/>
    <n v="0"/>
    <n v="0"/>
    <n v="0"/>
    <n v="0"/>
    <n v="0"/>
  </r>
  <r>
    <n v="951413"/>
    <s v="Campanha B"/>
    <x v="0"/>
    <x v="1"/>
    <x v="18"/>
    <n v="1083"/>
    <n v="0"/>
    <n v="0"/>
    <n v="0"/>
    <n v="0"/>
    <n v="0"/>
    <n v="0"/>
    <n v="0"/>
    <n v="0"/>
    <n v="0"/>
    <n v="0"/>
  </r>
  <r>
    <n v="951420"/>
    <s v="Campanha B"/>
    <x v="0"/>
    <x v="1"/>
    <x v="5"/>
    <n v="843"/>
    <n v="0"/>
    <n v="0"/>
    <n v="0"/>
    <n v="0"/>
    <n v="0"/>
    <n v="0"/>
    <n v="0"/>
    <n v="0"/>
    <n v="0"/>
    <n v="0"/>
  </r>
  <r>
    <n v="951444"/>
    <s v="Campanha B"/>
    <x v="0"/>
    <x v="1"/>
    <x v="15"/>
    <n v="2983"/>
    <n v="1"/>
    <n v="0.97000002900000004"/>
    <n v="1"/>
    <n v="85"/>
    <n v="84.029999970999995"/>
    <n v="3.3523298692591353E-4"/>
    <n v="1"/>
    <n v="0.97000002900000004"/>
    <n v="0.97000002900000004"/>
    <n v="86.628863359549442"/>
  </r>
  <r>
    <n v="951448"/>
    <s v="Campanha B"/>
    <x v="0"/>
    <x v="1"/>
    <x v="15"/>
    <n v="696"/>
    <n v="0"/>
    <n v="0"/>
    <n v="0"/>
    <n v="0"/>
    <n v="0"/>
    <n v="0"/>
    <n v="0"/>
    <n v="0"/>
    <n v="0"/>
    <n v="0"/>
  </r>
  <r>
    <n v="951462"/>
    <s v="Campanha B"/>
    <x v="3"/>
    <x v="1"/>
    <x v="1"/>
    <n v="7589"/>
    <n v="2"/>
    <n v="3.1500000950000002"/>
    <n v="2"/>
    <n v="170"/>
    <n v="166.849999905"/>
    <n v="2.635393332454869E-4"/>
    <n v="1"/>
    <n v="1.5750000475000001"/>
    <n v="1.5750000475000001"/>
    <n v="52.968252340640007"/>
  </r>
  <r>
    <n v="951464"/>
    <s v="Campanha B"/>
    <x v="3"/>
    <x v="1"/>
    <x v="1"/>
    <n v="20997"/>
    <n v="10"/>
    <n v="11.94999981"/>
    <n v="1"/>
    <n v="85"/>
    <n v="73.050000190000006"/>
    <n v="4.7625851312092202E-4"/>
    <n v="0.1"/>
    <n v="1.194999981"/>
    <n v="11.94999981"/>
    <n v="6.1129708243903318"/>
  </r>
  <r>
    <n v="951465"/>
    <s v="Campanha B"/>
    <x v="3"/>
    <x v="1"/>
    <x v="1"/>
    <n v="4617"/>
    <n v="1"/>
    <n v="1.3600000139999999"/>
    <n v="1"/>
    <n v="85"/>
    <n v="83.639999986000007"/>
    <n v="2.1659085986571366E-4"/>
    <n v="1"/>
    <n v="1.3600000139999999"/>
    <n v="1.3600000139999999"/>
    <n v="61.499999356617664"/>
  </r>
  <r>
    <n v="951498"/>
    <s v="Campanha B"/>
    <x v="3"/>
    <x v="1"/>
    <x v="2"/>
    <n v="259"/>
    <n v="0"/>
    <n v="0"/>
    <n v="0"/>
    <n v="0"/>
    <n v="0"/>
    <n v="0"/>
    <n v="0"/>
    <n v="0"/>
    <n v="0"/>
    <n v="0"/>
  </r>
  <r>
    <n v="951508"/>
    <s v="Campanha B"/>
    <x v="0"/>
    <x v="1"/>
    <x v="12"/>
    <n v="1134"/>
    <n v="0"/>
    <n v="0"/>
    <n v="0"/>
    <n v="0"/>
    <n v="0"/>
    <n v="0"/>
    <n v="0"/>
    <n v="0"/>
    <n v="0"/>
    <n v="0"/>
  </r>
  <r>
    <n v="951542"/>
    <s v="Campanha B"/>
    <x v="2"/>
    <x v="1"/>
    <x v="5"/>
    <n v="357"/>
    <n v="0"/>
    <n v="0"/>
    <n v="0"/>
    <n v="0"/>
    <n v="0"/>
    <n v="0"/>
    <n v="0"/>
    <n v="0"/>
    <n v="0"/>
    <n v="0"/>
  </r>
  <r>
    <n v="951607"/>
    <s v="Campanha B"/>
    <x v="2"/>
    <x v="1"/>
    <x v="16"/>
    <n v="848"/>
    <n v="0"/>
    <n v="0"/>
    <n v="0"/>
    <n v="0"/>
    <n v="0"/>
    <n v="0"/>
    <n v="0"/>
    <n v="0"/>
    <n v="0"/>
    <n v="0"/>
  </r>
  <r>
    <n v="951608"/>
    <s v="Campanha B"/>
    <x v="2"/>
    <x v="1"/>
    <x v="16"/>
    <n v="3149"/>
    <n v="1"/>
    <n v="1.480000019"/>
    <n v="1"/>
    <n v="85"/>
    <n v="83.519999980999998"/>
    <n v="3.1756113051762465E-4"/>
    <n v="1"/>
    <n v="1.480000019"/>
    <n v="1.480000019"/>
    <n v="56.432431695124187"/>
  </r>
  <r>
    <n v="951641"/>
    <s v="Campanha B"/>
    <x v="2"/>
    <x v="1"/>
    <x v="23"/>
    <n v="87"/>
    <n v="0"/>
    <n v="0"/>
    <n v="0"/>
    <n v="0"/>
    <n v="0"/>
    <n v="0"/>
    <n v="0"/>
    <n v="0"/>
    <n v="0"/>
    <n v="0"/>
  </r>
  <r>
    <n v="951677"/>
    <s v="Campanha B"/>
    <x v="1"/>
    <x v="1"/>
    <x v="5"/>
    <n v="2563"/>
    <n v="1"/>
    <n v="1.480000019"/>
    <n v="1"/>
    <n v="85"/>
    <n v="83.519999980999998"/>
    <n v="3.9016777214202108E-4"/>
    <n v="1"/>
    <n v="1.480000019"/>
    <n v="1.480000019"/>
    <n v="56.432431695124187"/>
  </r>
  <r>
    <n v="951692"/>
    <s v="Campanha B"/>
    <x v="1"/>
    <x v="1"/>
    <x v="16"/>
    <n v="1107"/>
    <n v="0"/>
    <n v="0"/>
    <n v="0"/>
    <n v="0"/>
    <n v="0"/>
    <n v="0"/>
    <n v="0"/>
    <n v="0"/>
    <n v="0"/>
    <n v="0"/>
  </r>
  <r>
    <n v="951715"/>
    <s v="Campanha B"/>
    <x v="3"/>
    <x v="1"/>
    <x v="21"/>
    <n v="10677"/>
    <n v="5"/>
    <n v="7.2699999809999998"/>
    <n v="1"/>
    <n v="85"/>
    <n v="77.730000019000002"/>
    <n v="4.6829633792263745E-4"/>
    <n v="0.2"/>
    <n v="1.4539999961999999"/>
    <n v="7.2699999809999998"/>
    <n v="10.691884487227759"/>
  </r>
  <r>
    <n v="951756"/>
    <s v="Campanha B"/>
    <x v="1"/>
    <x v="1"/>
    <x v="22"/>
    <n v="2189"/>
    <n v="1"/>
    <n v="0.40999999599999998"/>
    <n v="1"/>
    <n v="85"/>
    <n v="84.590000004000004"/>
    <n v="4.5682960255824577E-4"/>
    <n v="1"/>
    <n v="0.40999999599999998"/>
    <n v="0.40999999599999998"/>
    <n v="206.31707519333733"/>
  </r>
  <r>
    <n v="951779"/>
    <s v="Campanha B"/>
    <x v="3"/>
    <x v="1"/>
    <x v="5"/>
    <n v="3277"/>
    <n v="2"/>
    <n v="2.6800000669999999"/>
    <n v="1"/>
    <n v="85"/>
    <n v="82.319999933000005"/>
    <n v="6.1031431187061336E-4"/>
    <n v="0.5"/>
    <n v="1.3400000335"/>
    <n v="2.6800000669999999"/>
    <n v="30.716417117537336"/>
  </r>
  <r>
    <n v="951782"/>
    <s v="Campanha B"/>
    <x v="3"/>
    <x v="1"/>
    <x v="18"/>
    <n v="781"/>
    <n v="0"/>
    <n v="0"/>
    <n v="0"/>
    <n v="0"/>
    <n v="0"/>
    <n v="0"/>
    <n v="0"/>
    <n v="0"/>
    <n v="0"/>
    <n v="0"/>
  </r>
  <r>
    <n v="951810"/>
    <s v="Campanha B"/>
    <x v="1"/>
    <x v="1"/>
    <x v="1"/>
    <n v="2226"/>
    <n v="0"/>
    <n v="0"/>
    <n v="0"/>
    <n v="0"/>
    <n v="0"/>
    <n v="0"/>
    <n v="0"/>
    <n v="0"/>
    <n v="0"/>
    <n v="0"/>
  </r>
  <r>
    <n v="951812"/>
    <s v="Campanha B"/>
    <x v="1"/>
    <x v="1"/>
    <x v="1"/>
    <n v="16274"/>
    <n v="4"/>
    <n v="6.079999924"/>
    <n v="2"/>
    <n v="170"/>
    <n v="163.92000007600001"/>
    <n v="2.4579083200196631E-4"/>
    <n v="0.5"/>
    <n v="1.519999981"/>
    <n v="3.039999962"/>
    <n v="26.960526665296058"/>
  </r>
  <r>
    <n v="951837"/>
    <s v="Campanha B"/>
    <x v="3"/>
    <x v="1"/>
    <x v="2"/>
    <n v="2077"/>
    <n v="1"/>
    <n v="1.5099999900000001"/>
    <n v="2"/>
    <n v="170"/>
    <n v="168.49000000999999"/>
    <n v="4.8146364949446316E-4"/>
    <n v="2"/>
    <n v="1.5099999900000001"/>
    <n v="0.75499999500000003"/>
    <n v="111.58278220253497"/>
  </r>
  <r>
    <n v="951853"/>
    <s v="Campanha B"/>
    <x v="0"/>
    <x v="1"/>
    <x v="2"/>
    <n v="529"/>
    <n v="0"/>
    <n v="0"/>
    <n v="0"/>
    <n v="0"/>
    <n v="0"/>
    <n v="0"/>
    <n v="0"/>
    <n v="0"/>
    <n v="0"/>
    <n v="0"/>
  </r>
  <r>
    <n v="951854"/>
    <s v="Campanha B"/>
    <x v="0"/>
    <x v="1"/>
    <x v="2"/>
    <n v="487"/>
    <n v="0"/>
    <n v="0"/>
    <n v="0"/>
    <n v="0"/>
    <n v="0"/>
    <n v="0"/>
    <n v="0"/>
    <n v="0"/>
    <n v="0"/>
    <n v="0"/>
  </r>
  <r>
    <n v="951856"/>
    <s v="Campanha B"/>
    <x v="0"/>
    <x v="1"/>
    <x v="2"/>
    <n v="4626"/>
    <n v="2"/>
    <n v="2.0999999049999998"/>
    <n v="2"/>
    <n v="170"/>
    <n v="167.900000095"/>
    <n v="4.3233895373973193E-4"/>
    <n v="1"/>
    <n v="1.0499999524999999"/>
    <n v="1.0499999524999999"/>
    <n v="79.952384614512638"/>
  </r>
  <r>
    <n v="951941"/>
    <s v="Campanha B"/>
    <x v="0"/>
    <x v="1"/>
    <x v="3"/>
    <n v="2764"/>
    <n v="1"/>
    <n v="1.559999943"/>
    <n v="2"/>
    <n v="170"/>
    <n v="168.44000005699999"/>
    <n v="3.6179450072358897E-4"/>
    <n v="2"/>
    <n v="1.559999943"/>
    <n v="0.7799999715"/>
    <n v="107.97436295611453"/>
  </r>
  <r>
    <n v="952001"/>
    <s v="Campanha B"/>
    <x v="3"/>
    <x v="1"/>
    <x v="16"/>
    <n v="5447"/>
    <n v="2"/>
    <n v="2.960000038"/>
    <n v="1"/>
    <n v="85"/>
    <n v="82.039999961999996"/>
    <n v="3.6717459151826694E-4"/>
    <n v="0.5"/>
    <n v="1.480000019"/>
    <n v="2.960000038"/>
    <n v="27.716215847562093"/>
  </r>
  <r>
    <n v="952031"/>
    <s v="Campanha B"/>
    <x v="2"/>
    <x v="1"/>
    <x v="1"/>
    <n v="28169"/>
    <n v="8"/>
    <n v="12.369999890000001"/>
    <n v="2"/>
    <n v="170"/>
    <n v="157.63000011"/>
    <n v="2.8400014200007101E-4"/>
    <n v="0.25"/>
    <n v="1.5462499862500001"/>
    <n v="6.1849999450000004"/>
    <n v="12.742926557131925"/>
  </r>
  <r>
    <n v="952080"/>
    <s v="Campanha B"/>
    <x v="2"/>
    <x v="1"/>
    <x v="5"/>
    <n v="415"/>
    <n v="0"/>
    <n v="0"/>
    <n v="0"/>
    <n v="0"/>
    <n v="0"/>
    <n v="0"/>
    <n v="0"/>
    <n v="0"/>
    <n v="0"/>
    <n v="0"/>
  </r>
  <r>
    <n v="952100"/>
    <s v="Campanha B"/>
    <x v="1"/>
    <x v="1"/>
    <x v="4"/>
    <n v="810"/>
    <n v="0"/>
    <n v="0"/>
    <n v="0"/>
    <n v="0"/>
    <n v="0"/>
    <n v="0"/>
    <n v="0"/>
    <n v="0"/>
    <n v="0"/>
    <n v="0"/>
  </r>
  <r>
    <n v="1121091"/>
    <s v="Campanha C"/>
    <x v="0"/>
    <x v="0"/>
    <x v="16"/>
    <n v="1194718"/>
    <n v="141"/>
    <n v="254.04999599999999"/>
    <n v="50"/>
    <n v="4250"/>
    <n v="3995.9500039999998"/>
    <n v="1.1801948242179326E-4"/>
    <n v="0.35"/>
    <n v="1.8017730212765957"/>
    <n v="5.08099992"/>
    <n v="15.728990619625909"/>
  </r>
  <r>
    <n v="1121092"/>
    <s v="Campanha C"/>
    <x v="0"/>
    <x v="0"/>
    <x v="16"/>
    <n v="637648"/>
    <n v="67"/>
    <n v="122.4"/>
    <n v="26"/>
    <n v="2210"/>
    <n v="2087.6"/>
    <n v="1.050736456477555E-4"/>
    <n v="0.39"/>
    <n v="1.826865671641791"/>
    <n v="4.7076923076923078"/>
    <n v="17.055555555555554"/>
  </r>
  <r>
    <n v="1121094"/>
    <s v="Campanha C"/>
    <x v="0"/>
    <x v="0"/>
    <x v="16"/>
    <n v="24362"/>
    <n v="0"/>
    <n v="0"/>
    <n v="0"/>
    <n v="0"/>
    <n v="0"/>
    <n v="0"/>
    <n v="0"/>
    <n v="0"/>
    <n v="0"/>
    <n v="0"/>
  </r>
  <r>
    <n v="1121095"/>
    <s v="Campanha C"/>
    <x v="0"/>
    <x v="0"/>
    <x v="16"/>
    <n v="459690"/>
    <n v="50"/>
    <n v="86.330001120000006"/>
    <n v="15"/>
    <n v="1275"/>
    <n v="1188.6699988800001"/>
    <n v="1.0876895299005852E-4"/>
    <n v="0.3"/>
    <n v="1.7266000224000002"/>
    <n v="5.7553334080000003"/>
    <n v="13.768909804920897"/>
  </r>
  <r>
    <n v="1121096"/>
    <s v="Campanha C"/>
    <x v="0"/>
    <x v="0"/>
    <x v="16"/>
    <n v="750060"/>
    <n v="86"/>
    <n v="161.90999909999999"/>
    <n v="21"/>
    <n v="1785"/>
    <n v="1623.0900008999999"/>
    <n v="1.1465749406714129E-4"/>
    <n v="0.24"/>
    <n v="1.8826744081395348"/>
    <n v="7.7099999571428572"/>
    <n v="10.024643381645229"/>
  </r>
  <r>
    <n v="1121097"/>
    <s v="Campanha C"/>
    <x v="0"/>
    <x v="0"/>
    <x v="0"/>
    <n v="30068"/>
    <n v="1"/>
    <n v="1.8200000519999999"/>
    <n v="9"/>
    <n v="765"/>
    <n v="763.17999994800005"/>
    <n v="3.3257948649727285E-5"/>
    <n v="9"/>
    <n v="1.8200000519999999"/>
    <n v="0.202222228"/>
    <n v="419.32965832025155"/>
  </r>
  <r>
    <n v="1121098"/>
    <s v="Campanha C"/>
    <x v="0"/>
    <x v="0"/>
    <x v="0"/>
    <n v="1267550"/>
    <n v="123"/>
    <n v="236.76999860000001"/>
    <n v="41"/>
    <n v="3485"/>
    <n v="3248.2300014000002"/>
    <n v="9.7037592205435677E-5"/>
    <n v="0.33"/>
    <n v="1.9249593382113821"/>
    <n v="5.7748780146341465"/>
    <n v="13.718925626584854"/>
  </r>
  <r>
    <n v="1121100"/>
    <s v="Campanha C"/>
    <x v="0"/>
    <x v="0"/>
    <x v="0"/>
    <n v="3052003"/>
    <n v="340"/>
    <n v="639.94999810000002"/>
    <n v="86"/>
    <n v="7310"/>
    <n v="6670.0500019000001"/>
    <n v="1.1140224960460393E-4"/>
    <n v="0.25"/>
    <n v="1.8822058767647059"/>
    <n v="7.4412790476744188"/>
    <n v="10.422767437617404"/>
  </r>
  <r>
    <n v="1121101"/>
    <s v="Campanha C"/>
    <x v="0"/>
    <x v="0"/>
    <x v="0"/>
    <n v="29945"/>
    <n v="1"/>
    <n v="1.5900000329999999"/>
    <n v="11"/>
    <n v="935"/>
    <n v="933.40999996699998"/>
    <n v="3.3394556687259975E-5"/>
    <n v="11"/>
    <n v="1.5900000329999999"/>
    <n v="0.14454545754545453"/>
    <n v="587.05030226059125"/>
  </r>
  <r>
    <n v="1121102"/>
    <s v="Campanha C"/>
    <x v="0"/>
    <x v="0"/>
    <x v="0"/>
    <n v="357856"/>
    <n v="30"/>
    <n v="52.970000149999997"/>
    <n v="18"/>
    <n v="1530"/>
    <n v="1477.02999985"/>
    <n v="8.3832603058213358E-5"/>
    <n v="0.6"/>
    <n v="1.7656666716666665"/>
    <n v="2.9427777861111108"/>
    <n v="27.884274035630714"/>
  </r>
  <r>
    <n v="1121104"/>
    <s v="Campanha C"/>
    <x v="0"/>
    <x v="0"/>
    <x v="1"/>
    <n v="2080666"/>
    <n v="202"/>
    <n v="360.15000149999997"/>
    <n v="69"/>
    <n v="5865"/>
    <n v="5504.8499984999999"/>
    <n v="9.7084298969656832E-5"/>
    <n v="0.34"/>
    <n v="1.7829207995049503"/>
    <n v="5.2195652391304348"/>
    <n v="15.284881231633149"/>
  </r>
  <r>
    <n v="1121105"/>
    <s v="Campanha C"/>
    <x v="0"/>
    <x v="0"/>
    <x v="1"/>
    <n v="145999"/>
    <n v="9"/>
    <n v="16.520000100000001"/>
    <n v="15"/>
    <n v="1275"/>
    <n v="1258.4799998999999"/>
    <n v="6.1644257837382448E-5"/>
    <n v="1.67"/>
    <n v="1.8355555666666667"/>
    <n v="1.10133334"/>
    <n v="76.179176288261644"/>
  </r>
  <r>
    <n v="1121107"/>
    <s v="Campanha C"/>
    <x v="0"/>
    <x v="0"/>
    <x v="1"/>
    <n v="32616"/>
    <n v="1"/>
    <n v="1.539999962"/>
    <n v="10"/>
    <n v="850"/>
    <n v="848.46000003799998"/>
    <n v="3.0659798871719399E-5"/>
    <n v="10"/>
    <n v="1.539999962"/>
    <n v="0.15399999619999999"/>
    <n v="550.94806556754963"/>
  </r>
  <r>
    <n v="1121108"/>
    <s v="Campanha C"/>
    <x v="0"/>
    <x v="0"/>
    <x v="1"/>
    <n v="984521"/>
    <n v="95"/>
    <n v="163.8999972"/>
    <n v="48"/>
    <n v="4080"/>
    <n v="3916.1000027999999"/>
    <n v="9.6493624818566595E-5"/>
    <n v="0.51"/>
    <n v="1.7252631284210527"/>
    <n v="3.414583275"/>
    <n v="23.893228003056976"/>
  </r>
  <r>
    <n v="1121110"/>
    <s v="Campanha C"/>
    <x v="0"/>
    <x v="0"/>
    <x v="12"/>
    <n v="880814"/>
    <n v="123"/>
    <n v="210.36000060000001"/>
    <n v="15"/>
    <n v="1275"/>
    <n v="1064.6399994000001"/>
    <n v="1.3964355698251843E-4"/>
    <n v="0.12"/>
    <n v="1.7102439073170732"/>
    <n v="14.024000040000001"/>
    <n v="5.061038202906337"/>
  </r>
  <r>
    <n v="1121111"/>
    <s v="Campanha C"/>
    <x v="0"/>
    <x v="0"/>
    <x v="12"/>
    <n v="182452"/>
    <n v="20"/>
    <n v="35.730000259999997"/>
    <n v="14"/>
    <n v="1190"/>
    <n v="1154.26999974"/>
    <n v="1.0961787209786684E-4"/>
    <n v="0.7"/>
    <n v="1.7865000129999999"/>
    <n v="2.5521428757142854"/>
    <n v="32.30534540555864"/>
  </r>
  <r>
    <n v="1121113"/>
    <s v="Campanha C"/>
    <x v="0"/>
    <x v="0"/>
    <x v="12"/>
    <n v="894911"/>
    <n v="120"/>
    <n v="215.83999940000001"/>
    <n v="19"/>
    <n v="1615"/>
    <n v="1399.1600005999999"/>
    <n v="1.3409154653367766E-4"/>
    <n v="0.16"/>
    <n v="1.7986666616666667"/>
    <n v="11.359999968421054"/>
    <n v="6.4823943869970186"/>
  </r>
  <r>
    <n v="1121114"/>
    <s v="Campanha C"/>
    <x v="0"/>
    <x v="0"/>
    <x v="12"/>
    <n v="31349"/>
    <n v="2"/>
    <n v="3.800000072"/>
    <n v="9"/>
    <n v="765"/>
    <n v="761.19999992800001"/>
    <n v="6.3797888289897611E-5"/>
    <n v="4.5"/>
    <n v="1.900000036"/>
    <n v="0.42222223022222222"/>
    <n v="200.31578565927984"/>
  </r>
  <r>
    <n v="1121115"/>
    <s v="Campanha C"/>
    <x v="0"/>
    <x v="0"/>
    <x v="17"/>
    <n v="410310"/>
    <n v="55"/>
    <n v="96.800000549999993"/>
    <n v="11"/>
    <n v="935"/>
    <n v="838.19999944999995"/>
    <n v="1.3404499037313251E-4"/>
    <n v="0.2"/>
    <n v="1.7600000099999999"/>
    <n v="8.8000000499999995"/>
    <n v="8.6590908542097118"/>
  </r>
  <r>
    <n v="1121116"/>
    <s v="Campanha C"/>
    <x v="0"/>
    <x v="0"/>
    <x v="17"/>
    <n v="572450"/>
    <n v="89"/>
    <n v="157.32999799999999"/>
    <n v="20"/>
    <n v="1700"/>
    <n v="1542.6700020000001"/>
    <n v="1.5547209363263168E-4"/>
    <n v="0.22"/>
    <n v="1.7677527865168539"/>
    <n v="7.8664998999999991"/>
    <n v="9.8053138092584238"/>
  </r>
  <r>
    <n v="1121117"/>
    <s v="Campanha C"/>
    <x v="0"/>
    <x v="0"/>
    <x v="17"/>
    <n v="98759"/>
    <n v="15"/>
    <n v="26.569999459999998"/>
    <n v="10"/>
    <n v="850"/>
    <n v="823.43000054000004"/>
    <n v="1.5188489150355918E-4"/>
    <n v="0.67"/>
    <n v="1.7713332973333331"/>
    <n v="2.656999946"/>
    <n v="30.990967906478087"/>
  </r>
  <r>
    <n v="1121119"/>
    <s v="Campanha C"/>
    <x v="0"/>
    <x v="0"/>
    <x v="17"/>
    <n v="345371"/>
    <n v="54"/>
    <n v="93.089999910000003"/>
    <n v="17"/>
    <n v="1445"/>
    <n v="1351.91000009"/>
    <n v="1.5635360235804395E-4"/>
    <n v="0.31"/>
    <n v="1.7238888872222222"/>
    <n v="5.4758823476470591"/>
    <n v="14.522612540520305"/>
  </r>
  <r>
    <n v="1121121"/>
    <s v="Campanha C"/>
    <x v="0"/>
    <x v="0"/>
    <x v="2"/>
    <n v="323899"/>
    <n v="46"/>
    <n v="78.920000200000004"/>
    <n v="14"/>
    <n v="1190"/>
    <n v="1111.0799998"/>
    <n v="1.4201958017777148E-4"/>
    <n v="0.3"/>
    <n v="1.7156521782608696"/>
    <n v="5.6371428714285718"/>
    <n v="14.078560529451188"/>
  </r>
  <r>
    <n v="1121122"/>
    <s v="Campanha C"/>
    <x v="0"/>
    <x v="0"/>
    <x v="2"/>
    <n v="399199"/>
    <n v="58"/>
    <n v="103.15000019999999"/>
    <n v="11"/>
    <n v="935"/>
    <n v="831.84999979999998"/>
    <n v="1.4529094511759799E-4"/>
    <n v="0.19"/>
    <n v="1.7784482793103447"/>
    <n v="9.3772727454545457"/>
    <n v="8.0644692020078157"/>
  </r>
  <r>
    <n v="1121123"/>
    <s v="Campanha C"/>
    <x v="0"/>
    <x v="0"/>
    <x v="2"/>
    <n v="171202"/>
    <n v="22"/>
    <n v="36.530000209999997"/>
    <n v="12"/>
    <n v="1020"/>
    <n v="983.46999978999997"/>
    <n v="1.285031716919195E-4"/>
    <n v="0.55000000000000004"/>
    <n v="1.6604545549999998"/>
    <n v="3.0441666841666666"/>
    <n v="26.922255519746138"/>
  </r>
  <r>
    <n v="1121124"/>
    <s v="Campanha C"/>
    <x v="0"/>
    <x v="0"/>
    <x v="2"/>
    <n v="128386"/>
    <n v="15"/>
    <n v="28.85000002"/>
    <n v="11"/>
    <n v="935"/>
    <n v="906.14999997999996"/>
    <n v="1.1683516894365429E-4"/>
    <n v="0.73"/>
    <n v="1.9233333346666666"/>
    <n v="2.6227272745454546"/>
    <n v="31.409012109248518"/>
  </r>
  <r>
    <n v="1121125"/>
    <s v="Campanha C"/>
    <x v="0"/>
    <x v="0"/>
    <x v="2"/>
    <n v="1034284"/>
    <n v="152"/>
    <n v="257.70999860000001"/>
    <n v="37"/>
    <n v="3145"/>
    <n v="2887.2900014000002"/>
    <n v="1.4696156954956279E-4"/>
    <n v="0.24"/>
    <n v="1.6954605171052632"/>
    <n v="6.9651350972972974"/>
    <n v="11.203639816402529"/>
  </r>
  <r>
    <n v="1121126"/>
    <s v="Campanha C"/>
    <x v="0"/>
    <x v="0"/>
    <x v="2"/>
    <n v="45923"/>
    <n v="5"/>
    <n v="7.2200001479999996"/>
    <n v="10"/>
    <n v="850"/>
    <n v="842.77999985199995"/>
    <n v="1.0887790431809768E-4"/>
    <n v="2"/>
    <n v="1.4440000296"/>
    <n v="0.72200001479999998"/>
    <n v="116.72852944268388"/>
  </r>
  <r>
    <n v="1121127"/>
    <s v="Campanha C"/>
    <x v="0"/>
    <x v="0"/>
    <x v="10"/>
    <n v="40873"/>
    <n v="4"/>
    <n v="7.8999999760000001"/>
    <n v="10"/>
    <n v="850"/>
    <n v="842.100000024"/>
    <n v="9.7864115675384727E-5"/>
    <n v="2.5"/>
    <n v="1.974999994"/>
    <n v="0.78999999760000006"/>
    <n v="106.59493703573145"/>
  </r>
  <r>
    <n v="1121128"/>
    <s v="Campanha C"/>
    <x v="0"/>
    <x v="0"/>
    <x v="10"/>
    <n v="286553"/>
    <n v="34"/>
    <n v="62.060000420000001"/>
    <n v="12"/>
    <n v="1020"/>
    <n v="957.93999957999995"/>
    <n v="1.1865169794069509E-4"/>
    <n v="0.35"/>
    <n v="1.8252941300000001"/>
    <n v="5.1716667016666671"/>
    <n v="15.435707268723862"/>
  </r>
  <r>
    <n v="1121129"/>
    <s v="Campanha C"/>
    <x v="0"/>
    <x v="0"/>
    <x v="10"/>
    <n v="20618"/>
    <n v="1"/>
    <n v="2.0999999049999998"/>
    <n v="11"/>
    <n v="935"/>
    <n v="932.900000095"/>
    <n v="4.8501309535357458E-5"/>
    <n v="11"/>
    <n v="2.0999999049999998"/>
    <n v="0.19090908227272727"/>
    <n v="444.23811537981953"/>
  </r>
  <r>
    <n v="1121131"/>
    <s v="Campanha C"/>
    <x v="0"/>
    <x v="0"/>
    <x v="10"/>
    <n v="83591"/>
    <n v="7"/>
    <n v="14.14000046"/>
    <n v="12"/>
    <n v="1020"/>
    <n v="1005.85999954"/>
    <n v="8.3741072603509952E-5"/>
    <n v="1.71"/>
    <n v="2.0200000657142856"/>
    <n v="1.1783333716666666"/>
    <n v="71.135782660363503"/>
  </r>
  <r>
    <n v="1121132"/>
    <s v="Campanha C"/>
    <x v="0"/>
    <x v="0"/>
    <x v="10"/>
    <n v="114923"/>
    <n v="12"/>
    <n v="23.730000260000001"/>
    <n v="14"/>
    <n v="1190"/>
    <n v="1166.26999974"/>
    <n v="1.0441774057412354E-4"/>
    <n v="1.17"/>
    <n v="1.9775000216666667"/>
    <n v="1.6950000185714287"/>
    <n v="49.147492075922969"/>
  </r>
  <r>
    <n v="1121133"/>
    <s v="Campanha C"/>
    <x v="0"/>
    <x v="0"/>
    <x v="22"/>
    <n v="25002"/>
    <n v="1"/>
    <n v="1.710000038"/>
    <n v="9"/>
    <n v="765"/>
    <n v="763.28999996200002"/>
    <n v="3.9996800255979519E-5"/>
    <n v="9"/>
    <n v="1.710000038"/>
    <n v="0.19000000422222221"/>
    <n v="446.36841111111136"/>
  </r>
  <r>
    <n v="1121134"/>
    <s v="Campanha C"/>
    <x v="0"/>
    <x v="0"/>
    <x v="22"/>
    <n v="68905"/>
    <n v="5"/>
    <n v="9.4400000570000007"/>
    <n v="8"/>
    <n v="680"/>
    <n v="670.55999994299998"/>
    <n v="7.2563674624482989E-5"/>
    <n v="1.6"/>
    <n v="1.8880000114000002"/>
    <n v="1.1800000071250001"/>
    <n v="71.033897870134297"/>
  </r>
  <r>
    <n v="1121136"/>
    <s v="Campanha C"/>
    <x v="0"/>
    <x v="0"/>
    <x v="22"/>
    <n v="169588"/>
    <n v="16"/>
    <n v="27.799999239999998"/>
    <n v="9"/>
    <n v="765"/>
    <n v="737.20000075999997"/>
    <n v="9.43462980871288E-5"/>
    <n v="0.56000000000000005"/>
    <n v="1.7374999524999999"/>
    <n v="3.0888888044444442"/>
    <n v="26.517986363801068"/>
  </r>
  <r>
    <n v="1121138"/>
    <s v="Campanha C"/>
    <x v="0"/>
    <x v="0"/>
    <x v="22"/>
    <n v="328991"/>
    <n v="35"/>
    <n v="67.650000570000003"/>
    <n v="15"/>
    <n v="1275"/>
    <n v="1207.34999943"/>
    <n v="1.0638588897568627E-4"/>
    <n v="0.43"/>
    <n v="1.9328571591428572"/>
    <n v="4.5100000380000003"/>
    <n v="17.84700649308509"/>
  </r>
  <r>
    <n v="1121141"/>
    <s v="Campanha C"/>
    <x v="0"/>
    <x v="0"/>
    <x v="20"/>
    <n v="23198"/>
    <n v="2"/>
    <n v="2.9800000190000002"/>
    <n v="9"/>
    <n v="765"/>
    <n v="762.01999998099996"/>
    <n v="8.6214328821450129E-5"/>
    <n v="4.5"/>
    <n v="1.4900000095000001"/>
    <n v="0.33111111322222225"/>
    <n v="255.71140775922254"/>
  </r>
  <r>
    <n v="1121142"/>
    <s v="Campanha C"/>
    <x v="0"/>
    <x v="0"/>
    <x v="20"/>
    <n v="26890"/>
    <n v="2"/>
    <n v="3.2400000100000002"/>
    <n v="10"/>
    <n v="850"/>
    <n v="846.75999998999998"/>
    <n v="7.4377091855708447E-5"/>
    <n v="5"/>
    <n v="1.6200000050000001"/>
    <n v="0.32400000100000004"/>
    <n v="261.3456782026368"/>
  </r>
  <r>
    <n v="1121143"/>
    <s v="Campanha C"/>
    <x v="0"/>
    <x v="0"/>
    <x v="20"/>
    <n v="221695"/>
    <n v="31"/>
    <n v="52.26000011"/>
    <n v="15"/>
    <n v="1275"/>
    <n v="1222.73999989"/>
    <n v="1.3983175082884144E-4"/>
    <n v="0.48"/>
    <n v="1.6858064551612904"/>
    <n v="3.4840000073333335"/>
    <n v="23.397244495145486"/>
  </r>
  <r>
    <n v="1121152"/>
    <s v="Campanha C"/>
    <x v="0"/>
    <x v="0"/>
    <x v="9"/>
    <n v="88443"/>
    <n v="7"/>
    <n v="13.0400002"/>
    <n v="9"/>
    <n v="765"/>
    <n v="751.95999979999999"/>
    <n v="7.9147021245321847E-5"/>
    <n v="1.29"/>
    <n v="1.8628571714285713"/>
    <n v="1.4488889111111112"/>
    <n v="57.665643271999336"/>
  </r>
  <r>
    <n v="1121153"/>
    <s v="Campanha C"/>
    <x v="0"/>
    <x v="0"/>
    <x v="9"/>
    <n v="187856"/>
    <n v="23"/>
    <n v="38.389999750000001"/>
    <n v="14"/>
    <n v="1190"/>
    <n v="1151.61000025"/>
    <n v="1.2243420492291968E-4"/>
    <n v="0.61"/>
    <n v="1.6691304239130436"/>
    <n v="2.7421428392857146"/>
    <n v="29.997655841349673"/>
  </r>
  <r>
    <n v="1121164"/>
    <s v="Campanha C"/>
    <x v="0"/>
    <x v="0"/>
    <x v="15"/>
    <n v="570699"/>
    <n v="80"/>
    <n v="138.7699997"/>
    <n v="19"/>
    <n v="1615"/>
    <n v="1476.2300003"/>
    <n v="1.4017897350442177E-4"/>
    <n v="0.24"/>
    <n v="1.73462499625"/>
    <n v="7.3036841947368423"/>
    <n v="10.637962120713329"/>
  </r>
  <r>
    <n v="1121167"/>
    <s v="Campanha C"/>
    <x v="0"/>
    <x v="0"/>
    <x v="15"/>
    <n v="1063508"/>
    <n v="145"/>
    <n v="260.3800013"/>
    <n v="37"/>
    <n v="3145"/>
    <n v="2884.6199987"/>
    <n v="1.3634124049842597E-4"/>
    <n v="0.26"/>
    <n v="1.7957241468965517"/>
    <n v="7.0372973324324324"/>
    <n v="11.078500592587561"/>
  </r>
  <r>
    <n v="1121168"/>
    <s v="Campanha C"/>
    <x v="0"/>
    <x v="0"/>
    <x v="15"/>
    <n v="50523"/>
    <n v="6"/>
    <n v="8.5499999520000003"/>
    <n v="9"/>
    <n v="765"/>
    <n v="756.45000004799999"/>
    <n v="1.1875779348019714E-4"/>
    <n v="1.5"/>
    <n v="1.424999992"/>
    <n v="0.94999999466666674"/>
    <n v="88.473684712834711"/>
  </r>
  <r>
    <n v="1121172"/>
    <s v="Campanha C"/>
    <x v="0"/>
    <x v="0"/>
    <x v="18"/>
    <n v="87935"/>
    <n v="9"/>
    <n v="15.63000023"/>
    <n v="9"/>
    <n v="765"/>
    <n v="749.36999977000005"/>
    <n v="1.0234832546767499E-4"/>
    <n v="1"/>
    <n v="1.7366666922222223"/>
    <n v="1.7366666922222223"/>
    <n v="47.944337091670029"/>
  </r>
  <r>
    <n v="1121173"/>
    <s v="Campanha C"/>
    <x v="0"/>
    <x v="0"/>
    <x v="18"/>
    <n v="278225"/>
    <n v="33"/>
    <n v="60.199999570000003"/>
    <n v="11"/>
    <n v="935"/>
    <n v="874.80000042999995"/>
    <n v="1.1860903944649115E-4"/>
    <n v="0.33"/>
    <n v="1.8242424112121214"/>
    <n v="5.4727272336363635"/>
    <n v="14.531561572733745"/>
  </r>
  <r>
    <n v="1121175"/>
    <s v="Campanha C"/>
    <x v="0"/>
    <x v="0"/>
    <x v="18"/>
    <n v="209461"/>
    <n v="20"/>
    <n v="34.190000060000003"/>
    <n v="9"/>
    <n v="765"/>
    <n v="730.80999994000001"/>
    <n v="9.5483168704436631E-5"/>
    <n v="0.45"/>
    <n v="1.709500003"/>
    <n v="3.7988888955555558"/>
    <n v="21.374963400336419"/>
  </r>
  <r>
    <n v="1121177"/>
    <s v="Campanha C"/>
    <x v="0"/>
    <x v="0"/>
    <x v="18"/>
    <n v="26316"/>
    <n v="2"/>
    <n v="3.2400000100000002"/>
    <n v="12"/>
    <n v="1020"/>
    <n v="1016.75999999"/>
    <n v="7.5999392004863956E-5"/>
    <n v="6"/>
    <n v="1.6200000050000001"/>
    <n v="0.27000000083333336"/>
    <n v="313.81481384316413"/>
  </r>
  <r>
    <n v="1121181"/>
    <s v="Campanha C"/>
    <x v="0"/>
    <x v="0"/>
    <x v="5"/>
    <n v="41030"/>
    <n v="3"/>
    <n v="5.1400001050000004"/>
    <n v="11"/>
    <n v="935"/>
    <n v="929.85999989499999"/>
    <n v="7.3117231294175E-5"/>
    <n v="3.67"/>
    <n v="1.7133333683333334"/>
    <n v="0.46727273681818188"/>
    <n v="180.90661107000113"/>
  </r>
  <r>
    <n v="1121182"/>
    <s v="Campanha C"/>
    <x v="0"/>
    <x v="0"/>
    <x v="5"/>
    <n v="876671"/>
    <n v="120"/>
    <n v="216.5599982"/>
    <n v="34"/>
    <n v="2890"/>
    <n v="2673.4400018000001"/>
    <n v="1.3688145267723011E-4"/>
    <n v="0.28000000000000003"/>
    <n v="1.8046666516666667"/>
    <n v="6.3694117117647053"/>
    <n v="12.345031510994906"/>
  </r>
  <r>
    <n v="1121183"/>
    <s v="Campanha C"/>
    <x v="0"/>
    <x v="0"/>
    <x v="5"/>
    <n v="399392"/>
    <n v="53"/>
    <n v="93.070000410000006"/>
    <n v="13"/>
    <n v="1105"/>
    <n v="1011.92999959"/>
    <n v="1.3270170659402292E-4"/>
    <n v="0.25"/>
    <n v="1.7560377435849057"/>
    <n v="7.1592308007692314"/>
    <n v="10.872783873774132"/>
  </r>
  <r>
    <n v="1121184"/>
    <s v="Campanha C"/>
    <x v="0"/>
    <x v="0"/>
    <x v="5"/>
    <n v="283858"/>
    <n v="30"/>
    <n v="56.059999230000003"/>
    <n v="9"/>
    <n v="765"/>
    <n v="708.94000076999998"/>
    <n v="1.0568664613997139E-4"/>
    <n v="0.3"/>
    <n v="1.8686666410000001"/>
    <n v="6.2288888033333336"/>
    <n v="12.646093658713736"/>
  </r>
  <r>
    <n v="1121185"/>
    <s v="Campanha C"/>
    <x v="0"/>
    <x v="0"/>
    <x v="5"/>
    <n v="260699"/>
    <n v="31"/>
    <n v="54.099998710000001"/>
    <n v="16"/>
    <n v="1360"/>
    <n v="1305.9000012900001"/>
    <n v="1.1891108136203054E-4"/>
    <n v="0.52"/>
    <n v="1.7451612487096775"/>
    <n v="3.3812499193750001"/>
    <n v="24.138632762085699"/>
  </r>
  <r>
    <n v="1121193"/>
    <s v="Campanha C"/>
    <x v="0"/>
    <x v="0"/>
    <x v="3"/>
    <n v="57781"/>
    <n v="5"/>
    <n v="7.8000000719999996"/>
    <n v="10"/>
    <n v="850"/>
    <n v="842.19999992800001"/>
    <n v="8.6533635624167117E-5"/>
    <n v="2"/>
    <n v="1.5600000143999999"/>
    <n v="0.78000000719999996"/>
    <n v="107.97435796844184"/>
  </r>
  <r>
    <n v="1121195"/>
    <s v="Campanha C"/>
    <x v="0"/>
    <x v="0"/>
    <x v="3"/>
    <n v="38757"/>
    <n v="3"/>
    <n v="5.2200000290000004"/>
    <n v="9"/>
    <n v="765"/>
    <n v="759.77999997100005"/>
    <n v="7.740537193281214E-5"/>
    <n v="3"/>
    <n v="1.7400000096666668"/>
    <n v="0.58000000322222223"/>
    <n v="145.5517233237548"/>
  </r>
  <r>
    <n v="1121196"/>
    <s v="Campanha C"/>
    <x v="0"/>
    <x v="0"/>
    <x v="3"/>
    <n v="1392288"/>
    <n v="206"/>
    <n v="358.55000289999998"/>
    <n v="46"/>
    <n v="3910"/>
    <n v="3551.4499971"/>
    <n v="1.4795789376910524E-4"/>
    <n v="0.22"/>
    <n v="1.7405339946601941"/>
    <n v="7.7945652804347825"/>
    <n v="9.9050340771870076"/>
  </r>
  <r>
    <n v="1121197"/>
    <s v="Campanha C"/>
    <x v="0"/>
    <x v="0"/>
    <x v="3"/>
    <n v="1109387"/>
    <n v="159"/>
    <n v="280.98999950000001"/>
    <n v="23"/>
    <n v="1955"/>
    <n v="1674.0100004999999"/>
    <n v="1.4332239335777326E-4"/>
    <n v="0.14000000000000001"/>
    <n v="1.7672327012578617"/>
    <n v="12.2169565"/>
    <n v="5.9575429854399493"/>
  </r>
  <r>
    <n v="1121202"/>
    <s v="Campanha C"/>
    <x v="0"/>
    <x v="0"/>
    <x v="4"/>
    <n v="581281"/>
    <n v="65"/>
    <n v="115.1200008"/>
    <n v="23"/>
    <n v="1955"/>
    <n v="1839.8799991999999"/>
    <n v="1.1182199314961266E-4"/>
    <n v="0.35"/>
    <n v="1.7710769353846154"/>
    <n v="5.0052174260869569"/>
    <n v="15.98227924265268"/>
  </r>
  <r>
    <n v="1121203"/>
    <s v="Campanha C"/>
    <x v="0"/>
    <x v="0"/>
    <x v="4"/>
    <n v="1048861"/>
    <n v="128"/>
    <n v="219.77000200000001"/>
    <n v="38"/>
    <n v="3230"/>
    <n v="3010.2299979999998"/>
    <n v="1.220371431486155E-4"/>
    <n v="0.3"/>
    <n v="1.716953140625"/>
    <n v="5.7834211052631579"/>
    <n v="13.697183285278395"/>
  </r>
  <r>
    <n v="1121205"/>
    <s v="Campanha C"/>
    <x v="0"/>
    <x v="0"/>
    <x v="4"/>
    <n v="297452"/>
    <n v="30"/>
    <n v="52.019999859999999"/>
    <n v="13"/>
    <n v="1105"/>
    <n v="1052.9800001399999"/>
    <n v="1.0085660879738579E-4"/>
    <n v="0.43"/>
    <n v="1.7339999953333334"/>
    <n v="4.0015384507692309"/>
    <n v="20.241830122527031"/>
  </r>
  <r>
    <n v="1121206"/>
    <s v="Campanha C"/>
    <x v="0"/>
    <x v="0"/>
    <x v="4"/>
    <n v="227925"/>
    <n v="22"/>
    <n v="35.309999939999997"/>
    <n v="42"/>
    <n v="3570"/>
    <n v="3534.6900000599999"/>
    <n v="9.6522979050126136E-5"/>
    <n v="1.91"/>
    <n v="1.6049999972727271"/>
    <n v="0.84071428428571426"/>
    <n v="100.1045031454622"/>
  </r>
  <r>
    <n v="1121207"/>
    <s v="Campanha C"/>
    <x v="0"/>
    <x v="0"/>
    <x v="4"/>
    <n v="374175"/>
    <n v="38"/>
    <n v="63.320001009999999"/>
    <n v="20"/>
    <n v="1700"/>
    <n v="1636.6799989900001"/>
    <n v="1.0155675820137636E-4"/>
    <n v="0.53"/>
    <n v="1.6663158160526315"/>
    <n v="3.1660000505000001"/>
    <n v="25.847756994374059"/>
  </r>
  <r>
    <n v="1121211"/>
    <s v="Campanha C"/>
    <x v="0"/>
    <x v="0"/>
    <x v="8"/>
    <n v="223586"/>
    <n v="32"/>
    <n v="54.240000369999997"/>
    <n v="8"/>
    <n v="680"/>
    <n v="625.75999963000004"/>
    <n v="1.4312166235810829E-4"/>
    <n v="0.25"/>
    <n v="1.6950000115624999"/>
    <n v="6.7800000462499996"/>
    <n v="11.536873070821478"/>
  </r>
  <r>
    <n v="1121213"/>
    <s v="Campanha C"/>
    <x v="0"/>
    <x v="0"/>
    <x v="8"/>
    <n v="283170"/>
    <n v="39"/>
    <n v="65.229999960000001"/>
    <n v="11"/>
    <n v="935"/>
    <n v="869.77000004000001"/>
    <n v="1.3772645407352473E-4"/>
    <n v="0.28000000000000003"/>
    <n v="1.6725641015384616"/>
    <n v="5.9299999963636365"/>
    <n v="13.333895455670026"/>
  </r>
  <r>
    <n v="1121215"/>
    <s v="Campanha C"/>
    <x v="0"/>
    <x v="0"/>
    <x v="8"/>
    <n v="41636"/>
    <n v="3"/>
    <n v="4.2100000380000004"/>
    <n v="8"/>
    <n v="680"/>
    <n v="675.78999996200002"/>
    <n v="7.2053031030838702E-5"/>
    <n v="2.67"/>
    <n v="1.4033333460000001"/>
    <n v="0.52625000475000006"/>
    <n v="160.52018856585102"/>
  </r>
  <r>
    <n v="1121216"/>
    <s v="Campanha C"/>
    <x v="0"/>
    <x v="0"/>
    <x v="8"/>
    <n v="198658"/>
    <n v="30"/>
    <n v="48.609999780000003"/>
    <n v="17"/>
    <n v="1445"/>
    <n v="1396.39000022"/>
    <n v="1.5101329923788621E-4"/>
    <n v="0.56999999999999995"/>
    <n v="1.6203333260000001"/>
    <n v="2.8594117517647062"/>
    <n v="28.726393880679009"/>
  </r>
  <r>
    <n v="1121220"/>
    <s v="Campanha C"/>
    <x v="0"/>
    <x v="0"/>
    <x v="6"/>
    <n v="100596"/>
    <n v="10"/>
    <n v="13.91999972"/>
    <n v="14"/>
    <n v="1190"/>
    <n v="1176.0800002799999"/>
    <n v="9.9407531114557233E-5"/>
    <n v="1.4"/>
    <n v="1.391999972"/>
    <n v="0.99428569428571423"/>
    <n v="84.488507466722851"/>
  </r>
  <r>
    <n v="1121223"/>
    <s v="Campanha C"/>
    <x v="0"/>
    <x v="0"/>
    <x v="6"/>
    <n v="64020"/>
    <n v="5"/>
    <n v="11.059999700000001"/>
    <n v="9"/>
    <n v="765"/>
    <n v="753.94000029999995"/>
    <n v="7.8100593564511088E-5"/>
    <n v="1.8"/>
    <n v="2.2119999400000001"/>
    <n v="1.2288888555555557"/>
    <n v="68.168175474724464"/>
  </r>
  <r>
    <n v="1121224"/>
    <s v="Campanha C"/>
    <x v="0"/>
    <x v="0"/>
    <x v="6"/>
    <n v="14289"/>
    <n v="0"/>
    <n v="0"/>
    <n v="0"/>
    <n v="0"/>
    <n v="0"/>
    <n v="0"/>
    <n v="0"/>
    <n v="0"/>
    <n v="0"/>
    <n v="0"/>
  </r>
  <r>
    <n v="1121229"/>
    <s v="Campanha C"/>
    <x v="0"/>
    <x v="0"/>
    <x v="11"/>
    <n v="404866"/>
    <n v="43"/>
    <n v="87.420000790000003"/>
    <n v="12"/>
    <n v="1020"/>
    <n v="932.57999920999998"/>
    <n v="1.0620797992422184E-4"/>
    <n v="0.28000000000000003"/>
    <n v="2.0330232741860468"/>
    <n v="7.2850000658333336"/>
    <n v="10.66781046422363"/>
  </r>
  <r>
    <n v="1121231"/>
    <s v="Campanha C"/>
    <x v="0"/>
    <x v="0"/>
    <x v="11"/>
    <n v="22256"/>
    <n v="1"/>
    <n v="1.6599999670000001"/>
    <n v="10"/>
    <n v="850"/>
    <n v="848.34000003300002"/>
    <n v="4.4931703810208485E-5"/>
    <n v="10"/>
    <n v="1.6599999670000001"/>
    <n v="0.16599999670000001"/>
    <n v="511.04820295035586"/>
  </r>
  <r>
    <n v="1121233"/>
    <s v="Campanha C"/>
    <x v="0"/>
    <x v="0"/>
    <x v="11"/>
    <n v="57690"/>
    <n v="4"/>
    <n v="6.7400000100000002"/>
    <n v="9"/>
    <n v="765"/>
    <n v="758.25999998999998"/>
    <n v="6.9336106777604433E-5"/>
    <n v="2.25"/>
    <n v="1.6850000025"/>
    <n v="0.74888889000000003"/>
    <n v="112.50148351112539"/>
  </r>
  <r>
    <n v="1121241"/>
    <s v="Campanha C"/>
    <x v="0"/>
    <x v="0"/>
    <x v="19"/>
    <n v="24952"/>
    <n v="5"/>
    <n v="8.2200002669999996"/>
    <n v="13"/>
    <n v="1105"/>
    <n v="1096.7799997330001"/>
    <n v="2.0038473869830073E-4"/>
    <n v="2.6"/>
    <n v="1.6440000533999999"/>
    <n v="0.63230771284615384"/>
    <n v="133.4282194778182"/>
  </r>
  <r>
    <n v="1121242"/>
    <s v="Campanha C"/>
    <x v="0"/>
    <x v="0"/>
    <x v="19"/>
    <n v="38900"/>
    <n v="3"/>
    <n v="5.5800000430000001"/>
    <n v="9"/>
    <n v="765"/>
    <n v="759.41999995699996"/>
    <n v="7.7120822622107972E-5"/>
    <n v="3"/>
    <n v="1.8600000143333333"/>
    <n v="0.62000000477777784"/>
    <n v="136.09677313706786"/>
  </r>
  <r>
    <n v="1121243"/>
    <s v="Campanha C"/>
    <x v="0"/>
    <x v="0"/>
    <x v="19"/>
    <n v="53520"/>
    <n v="6"/>
    <n v="9.2299998999999993"/>
    <n v="10"/>
    <n v="850"/>
    <n v="840.77000009999995"/>
    <n v="1.1210762331838565E-4"/>
    <n v="1.67"/>
    <n v="1.5383333166666666"/>
    <n v="0.92299998999999988"/>
    <n v="91.091008581701075"/>
  </r>
  <r>
    <n v="1121244"/>
    <s v="Campanha C"/>
    <x v="0"/>
    <x v="0"/>
    <x v="19"/>
    <n v="181683"/>
    <n v="20"/>
    <n v="34.229999720000002"/>
    <n v="11"/>
    <n v="935"/>
    <n v="900.77000027999998"/>
    <n v="1.1008184585239125E-4"/>
    <n v="0.55000000000000004"/>
    <n v="1.7114999860000002"/>
    <n v="3.1118181563636367"/>
    <n v="26.315220790191695"/>
  </r>
  <r>
    <n v="1121245"/>
    <s v="Campanha C"/>
    <x v="0"/>
    <x v="0"/>
    <x v="19"/>
    <n v="29185"/>
    <n v="2"/>
    <n v="3.1499999760000001"/>
    <n v="9"/>
    <n v="765"/>
    <n v="761.850000024"/>
    <n v="6.8528353606304602E-5"/>
    <n v="4.5"/>
    <n v="1.5749999880000001"/>
    <n v="0.34999999733333337"/>
    <n v="241.857144707483"/>
  </r>
  <r>
    <n v="1121246"/>
    <s v="Campanha C"/>
    <x v="0"/>
    <x v="0"/>
    <x v="19"/>
    <n v="105047"/>
    <n v="13"/>
    <n v="20.209999400000001"/>
    <n v="12"/>
    <n v="1020"/>
    <n v="999.79000059999998"/>
    <n v="1.2375412910411529E-4"/>
    <n v="0.92"/>
    <n v="1.5546153384615384"/>
    <n v="1.6841666166666667"/>
    <n v="49.470065822960883"/>
  </r>
  <r>
    <n v="1121250"/>
    <s v="Campanha C"/>
    <x v="0"/>
    <x v="0"/>
    <x v="13"/>
    <n v="287976"/>
    <n v="31"/>
    <n v="59.439999819999997"/>
    <n v="13"/>
    <n v="1105"/>
    <n v="1045.5600001800001"/>
    <n v="1.0764785954385087E-4"/>
    <n v="0.42"/>
    <n v="1.917419349032258"/>
    <n v="4.572307678461538"/>
    <n v="17.59017502264858"/>
  </r>
  <r>
    <n v="1121251"/>
    <s v="Campanha C"/>
    <x v="0"/>
    <x v="0"/>
    <x v="13"/>
    <n v="212175"/>
    <n v="22"/>
    <n v="38.589999679999998"/>
    <n v="10"/>
    <n v="850"/>
    <n v="811.41000031999999"/>
    <n v="1.0368799340167315E-4"/>
    <n v="0.45"/>
    <n v="1.7540908945454545"/>
    <n v="3.858999968"/>
    <n v="21.026431900711536"/>
  </r>
  <r>
    <n v="1121252"/>
    <s v="Campanha C"/>
    <x v="0"/>
    <x v="0"/>
    <x v="13"/>
    <n v="11139"/>
    <n v="0"/>
    <n v="0"/>
    <n v="0"/>
    <n v="0"/>
    <n v="0"/>
    <n v="0"/>
    <n v="0"/>
    <n v="0"/>
    <n v="0"/>
    <n v="0"/>
  </r>
  <r>
    <n v="1121254"/>
    <s v="Campanha C"/>
    <x v="0"/>
    <x v="0"/>
    <x v="13"/>
    <n v="124005"/>
    <n v="11"/>
    <n v="21.849999789999998"/>
    <n v="13"/>
    <n v="1105"/>
    <n v="1083.1500002099999"/>
    <n v="8.8706100560461272E-5"/>
    <n v="1.18"/>
    <n v="1.986363617272727"/>
    <n v="1.6807692146153845"/>
    <n v="49.572082865910176"/>
  </r>
  <r>
    <n v="1121255"/>
    <s v="Campanha C"/>
    <x v="0"/>
    <x v="0"/>
    <x v="13"/>
    <n v="20423"/>
    <n v="1"/>
    <n v="1.960000038"/>
    <n v="9"/>
    <n v="765"/>
    <n v="763.03999996200002"/>
    <n v="4.8964402879106887E-5"/>
    <n v="9"/>
    <n v="1.960000038"/>
    <n v="0.217777782"/>
    <n v="389.30611488182024"/>
  </r>
  <r>
    <n v="1121261"/>
    <s v="Campanha C"/>
    <x v="0"/>
    <x v="0"/>
    <x v="21"/>
    <n v="103001"/>
    <n v="14"/>
    <n v="22.320000050000001"/>
    <n v="9"/>
    <n v="765"/>
    <n v="742.67999995000002"/>
    <n v="1.3592101047562644E-4"/>
    <n v="0.64"/>
    <n v="1.594285717857143"/>
    <n v="2.4800000055555556"/>
    <n v="33.274193471607987"/>
  </r>
  <r>
    <n v="1121262"/>
    <s v="Campanha C"/>
    <x v="0"/>
    <x v="0"/>
    <x v="21"/>
    <n v="447420"/>
    <n v="66"/>
    <n v="110.23999910000001"/>
    <n v="17"/>
    <n v="1445"/>
    <n v="1334.7600009"/>
    <n v="1.4751240445219258E-4"/>
    <n v="0.26"/>
    <n v="1.6703030166666668"/>
    <n v="6.484705829411765"/>
    <n v="12.107764983644671"/>
  </r>
  <r>
    <n v="1121263"/>
    <s v="Campanha C"/>
    <x v="0"/>
    <x v="0"/>
    <x v="21"/>
    <n v="156101"/>
    <n v="19"/>
    <n v="29.750000480000001"/>
    <n v="12"/>
    <n v="1020"/>
    <n v="990.24999951999996"/>
    <n v="1.2171606844286712E-4"/>
    <n v="0.63"/>
    <n v="1.5657894989473684"/>
    <n v="2.4791667066666667"/>
    <n v="33.285713732533019"/>
  </r>
  <r>
    <n v="1121264"/>
    <s v="Campanha C"/>
    <x v="0"/>
    <x v="0"/>
    <x v="21"/>
    <n v="93015"/>
    <n v="12"/>
    <n v="18.470000150000001"/>
    <n v="9"/>
    <n v="765"/>
    <n v="746.52999984999997"/>
    <n v="1.2901144976616675E-4"/>
    <n v="0.75"/>
    <n v="1.5391666791666667"/>
    <n v="2.0522222388888891"/>
    <n v="40.418516176893476"/>
  </r>
  <r>
    <n v="1121265"/>
    <s v="Campanha C"/>
    <x v="0"/>
    <x v="0"/>
    <x v="14"/>
    <n v="145398"/>
    <n v="23"/>
    <n v="36.240000250000001"/>
    <n v="9"/>
    <n v="765"/>
    <n v="728.75999975000002"/>
    <n v="1.5818649499993123E-4"/>
    <n v="0.39"/>
    <n v="1.5756521847826088"/>
    <n v="4.0266666944444447"/>
    <n v="20.109271377557455"/>
  </r>
  <r>
    <n v="1121269"/>
    <s v="Campanha C"/>
    <x v="0"/>
    <x v="0"/>
    <x v="14"/>
    <n v="296413"/>
    <n v="50"/>
    <n v="76.439999580000006"/>
    <n v="12"/>
    <n v="1020"/>
    <n v="943.56000042000005"/>
    <n v="1.686835597628984E-4"/>
    <n v="0.24"/>
    <n v="1.5287999916000001"/>
    <n v="6.3699999650000008"/>
    <n v="12.343799131402349"/>
  </r>
  <r>
    <n v="1121273"/>
    <s v="Campanha C"/>
    <x v="0"/>
    <x v="0"/>
    <x v="23"/>
    <n v="9370"/>
    <n v="0"/>
    <n v="0"/>
    <n v="0"/>
    <n v="0"/>
    <n v="0"/>
    <n v="0"/>
    <n v="0"/>
    <n v="0"/>
    <n v="0"/>
    <n v="0"/>
  </r>
  <r>
    <n v="1121274"/>
    <s v="Campanha C"/>
    <x v="0"/>
    <x v="0"/>
    <x v="23"/>
    <n v="63785"/>
    <n v="7"/>
    <n v="11.80000019"/>
    <n v="16"/>
    <n v="1360"/>
    <n v="1348.19999981"/>
    <n v="1.0974367014188289E-4"/>
    <n v="2.29"/>
    <n v="1.685714312857143"/>
    <n v="0.73750001187500003"/>
    <n v="114.25423543234706"/>
  </r>
  <r>
    <n v="1121275"/>
    <s v="Campanha C"/>
    <x v="0"/>
    <x v="0"/>
    <x v="23"/>
    <n v="118522"/>
    <n v="14"/>
    <n v="26.819999809999999"/>
    <n v="11"/>
    <n v="935"/>
    <n v="908.18000018999999"/>
    <n v="1.1812153018005096E-4"/>
    <n v="0.79"/>
    <n v="1.9157142721428571"/>
    <n v="2.4381818009090908"/>
    <n v="33.862043498276968"/>
  </r>
  <r>
    <n v="1121276"/>
    <s v="Campanha C"/>
    <x v="0"/>
    <x v="0"/>
    <x v="23"/>
    <n v="240123"/>
    <n v="38"/>
    <n v="65.670001150000004"/>
    <n v="17"/>
    <n v="1445"/>
    <n v="1379.32999885"/>
    <n v="1.5825222906593704E-4"/>
    <n v="0.45"/>
    <n v="1.7281579250000001"/>
    <n v="3.8629412441176472"/>
    <n v="21.003958804559879"/>
  </r>
  <r>
    <n v="1121277"/>
    <s v="Campanha C"/>
    <x v="0"/>
    <x v="0"/>
    <x v="7"/>
    <n v="169108"/>
    <n v="20"/>
    <n v="32.240000250000001"/>
    <n v="11"/>
    <n v="935"/>
    <n v="902.75999975000002"/>
    <n v="1.1826761596139745E-4"/>
    <n v="0.55000000000000004"/>
    <n v="1.6120000125"/>
    <n v="2.9309091136363636"/>
    <n v="28.001240469903532"/>
  </r>
  <r>
    <n v="1121278"/>
    <s v="Campanha C"/>
    <x v="0"/>
    <x v="0"/>
    <x v="7"/>
    <n v="1044442"/>
    <n v="142"/>
    <n v="245.5999999"/>
    <n v="38"/>
    <n v="3230"/>
    <n v="2984.4000000999999"/>
    <n v="1.3595776500753513E-4"/>
    <n v="0.27"/>
    <n v="1.729577464084507"/>
    <n v="6.4631578921052633"/>
    <n v="12.151465803400434"/>
  </r>
  <r>
    <n v="1121279"/>
    <s v="Campanha C"/>
    <x v="0"/>
    <x v="0"/>
    <x v="7"/>
    <n v="93891"/>
    <n v="11"/>
    <n v="17.640000100000002"/>
    <n v="16"/>
    <n v="1360"/>
    <n v="1342.3599999"/>
    <n v="1.1715712901130034E-4"/>
    <n v="1.45"/>
    <n v="1.6036363727272729"/>
    <n v="1.1025000062500001"/>
    <n v="76.097505231873555"/>
  </r>
  <r>
    <n v="1121282"/>
    <s v="Campanha C"/>
    <x v="0"/>
    <x v="0"/>
    <x v="7"/>
    <n v="185823"/>
    <n v="25"/>
    <n v="38.549999360000001"/>
    <n v="13"/>
    <n v="1105"/>
    <n v="1066.4500006400001"/>
    <n v="1.3453662894259591E-4"/>
    <n v="0.52"/>
    <n v="1.5419999744000001"/>
    <n v="2.9653845661538463"/>
    <n v="27.664073108819892"/>
  </r>
  <r>
    <n v="1121284"/>
    <s v="Campanha C"/>
    <x v="0"/>
    <x v="0"/>
    <x v="24"/>
    <n v="175631"/>
    <n v="23"/>
    <n v="40.75999951"/>
    <n v="8"/>
    <n v="680"/>
    <n v="639.24000049000006"/>
    <n v="1.3095638013790276E-4"/>
    <n v="0.35"/>
    <n v="1.7721738917391305"/>
    <n v="5.09499993875"/>
    <n v="15.683022771704643"/>
  </r>
  <r>
    <n v="1121285"/>
    <s v="Campanha C"/>
    <x v="0"/>
    <x v="0"/>
    <x v="24"/>
    <n v="37187"/>
    <n v="4"/>
    <n v="6.3700000049999996"/>
    <n v="9"/>
    <n v="765"/>
    <n v="758.62999999500005"/>
    <n v="1.0756447145507839E-4"/>
    <n v="2.25"/>
    <n v="1.5925000012499999"/>
    <n v="0.70777777833333333"/>
    <n v="119.09419142849751"/>
  </r>
  <r>
    <n v="1121286"/>
    <s v="Campanha C"/>
    <x v="0"/>
    <x v="0"/>
    <x v="24"/>
    <n v="10991"/>
    <n v="0"/>
    <n v="0"/>
    <n v="0"/>
    <n v="0"/>
    <n v="0"/>
    <n v="0"/>
    <n v="0"/>
    <n v="0"/>
    <n v="0"/>
    <n v="0"/>
  </r>
  <r>
    <n v="1121287"/>
    <s v="Campanha C"/>
    <x v="0"/>
    <x v="0"/>
    <x v="24"/>
    <n v="344618"/>
    <n v="51"/>
    <n v="89.760000469999994"/>
    <n v="12"/>
    <n v="1020"/>
    <n v="930.23999952999998"/>
    <n v="1.4798994829057102E-4"/>
    <n v="0.24"/>
    <n v="1.7600000092156862"/>
    <n v="7.4800000391666659"/>
    <n v="10.363636304134257"/>
  </r>
  <r>
    <n v="1121289"/>
    <s v="Campanha C"/>
    <x v="1"/>
    <x v="0"/>
    <x v="16"/>
    <n v="98066"/>
    <n v="9"/>
    <n v="16.1500001"/>
    <n v="9"/>
    <n v="765"/>
    <n v="748.84999990000006"/>
    <n v="9.1774927089919041E-5"/>
    <n v="1"/>
    <n v="1.7944444555555554"/>
    <n v="1.7944444555555554"/>
    <n v="46.368420759328671"/>
  </r>
  <r>
    <n v="1121290"/>
    <s v="Campanha C"/>
    <x v="1"/>
    <x v="0"/>
    <x v="16"/>
    <n v="770749"/>
    <n v="100"/>
    <n v="189.12999840000001"/>
    <n v="23"/>
    <n v="1955"/>
    <n v="1765.8700016"/>
    <n v="1.2974392441637939E-4"/>
    <n v="0.23"/>
    <n v="1.891299984"/>
    <n v="8.2230434086956521"/>
    <n v="9.3368054594135703"/>
  </r>
  <r>
    <n v="1121291"/>
    <s v="Campanha C"/>
    <x v="1"/>
    <x v="0"/>
    <x v="16"/>
    <n v="52553"/>
    <n v="5"/>
    <n v="8.5299998519999995"/>
    <n v="9"/>
    <n v="765"/>
    <n v="756.47000014800005"/>
    <n v="9.5142047076284892E-5"/>
    <n v="1.8"/>
    <n v="1.7059999704"/>
    <n v="0.94777776133333325"/>
    <n v="88.68347166156552"/>
  </r>
  <r>
    <n v="1121292"/>
    <s v="Campanha C"/>
    <x v="1"/>
    <x v="0"/>
    <x v="16"/>
    <n v="362296"/>
    <n v="39"/>
    <n v="67.770001289999996"/>
    <n v="18"/>
    <n v="1530"/>
    <n v="1462.22999871"/>
    <n v="1.0764678605339281E-4"/>
    <n v="0.46"/>
    <n v="1.7376923407692306"/>
    <n v="3.7650000716666665"/>
    <n v="21.576360792039171"/>
  </r>
  <r>
    <n v="1121293"/>
    <s v="Campanha C"/>
    <x v="1"/>
    <x v="0"/>
    <x v="16"/>
    <n v="427729"/>
    <n v="50"/>
    <n v="96.8999989"/>
    <n v="12"/>
    <n v="1020"/>
    <n v="923.10000109999999"/>
    <n v="1.1689644611424524E-4"/>
    <n v="0.24"/>
    <n v="1.9379999779999999"/>
    <n v="8.0749999083333339"/>
    <n v="9.5263159089674669"/>
  </r>
  <r>
    <n v="1121296"/>
    <s v="Campanha C"/>
    <x v="1"/>
    <x v="0"/>
    <x v="0"/>
    <n v="180351"/>
    <n v="21"/>
    <n v="37.130000109999997"/>
    <n v="11"/>
    <n v="935"/>
    <n v="897.86999989000003"/>
    <n v="1.1643960942828152E-4"/>
    <n v="0.52"/>
    <n v="1.7680952433333332"/>
    <n v="3.3754545554545454"/>
    <n v="24.181793623215803"/>
  </r>
  <r>
    <n v="1121297"/>
    <s v="Campanha C"/>
    <x v="1"/>
    <x v="0"/>
    <x v="0"/>
    <n v="187329"/>
    <n v="29"/>
    <n v="53.15999961"/>
    <n v="11"/>
    <n v="935"/>
    <n v="881.84000039"/>
    <n v="1.5480785142716824E-4"/>
    <n v="0.38"/>
    <n v="1.8331034348275863"/>
    <n v="4.832727237272727"/>
    <n v="16.588412469139971"/>
  </r>
  <r>
    <n v="1121300"/>
    <s v="Campanha C"/>
    <x v="1"/>
    <x v="0"/>
    <x v="0"/>
    <n v="782894"/>
    <n v="118"/>
    <n v="192.92999950000001"/>
    <n v="15"/>
    <n v="1275"/>
    <n v="1082.0700004999999"/>
    <n v="1.5072283093241231E-4"/>
    <n v="0.13"/>
    <n v="1.6349999957627119"/>
    <n v="12.861999966666668"/>
    <n v="5.6086145405292447"/>
  </r>
  <r>
    <n v="1121302"/>
    <s v="Campanha C"/>
    <x v="1"/>
    <x v="0"/>
    <x v="1"/>
    <n v="1206533"/>
    <n v="128"/>
    <n v="236.11999879999999"/>
    <n v="32"/>
    <n v="2720"/>
    <n v="2483.8800012000002"/>
    <n v="1.0608909992515746E-4"/>
    <n v="0.25"/>
    <n v="1.8446874906249999"/>
    <n v="7.3787499624999997"/>
    <n v="10.519566380753345"/>
  </r>
  <r>
    <n v="1121303"/>
    <s v="Campanha C"/>
    <x v="1"/>
    <x v="0"/>
    <x v="1"/>
    <n v="84494"/>
    <n v="7"/>
    <n v="12.57000017"/>
    <n v="10"/>
    <n v="850"/>
    <n v="837.42999983000004"/>
    <n v="8.284611925107108E-5"/>
    <n v="1.43"/>
    <n v="1.7957143099999999"/>
    <n v="1.257000017"/>
    <n v="66.621319690085571"/>
  </r>
  <r>
    <n v="1121304"/>
    <s v="Campanha C"/>
    <x v="1"/>
    <x v="0"/>
    <x v="1"/>
    <n v="94257"/>
    <n v="7"/>
    <n v="12.580000399999999"/>
    <n v="10"/>
    <n v="850"/>
    <n v="837.41999959999998"/>
    <n v="7.4265041323190849E-5"/>
    <n v="1.43"/>
    <n v="1.7971429142857143"/>
    <n v="1.25800004"/>
    <n v="66.567565419155315"/>
  </r>
  <r>
    <n v="1121309"/>
    <s v="Campanha C"/>
    <x v="1"/>
    <x v="0"/>
    <x v="12"/>
    <n v="131060"/>
    <n v="16"/>
    <n v="28.049999589999999"/>
    <n v="12"/>
    <n v="1020"/>
    <n v="991.95000041000003"/>
    <n v="1.220814893941706E-4"/>
    <n v="0.75"/>
    <n v="1.7531249743749999"/>
    <n v="2.3374999658333331"/>
    <n v="35.363636895154769"/>
  </r>
  <r>
    <n v="1121310"/>
    <s v="Campanha C"/>
    <x v="1"/>
    <x v="0"/>
    <x v="12"/>
    <n v="341603"/>
    <n v="50"/>
    <n v="83.480001209999998"/>
    <n v="14"/>
    <n v="1190"/>
    <n v="1106.51999879"/>
    <n v="1.463687379794674E-4"/>
    <n v="0.28000000000000003"/>
    <n v="1.6696000242"/>
    <n v="5.9628572292857145"/>
    <n v="13.254911149395754"/>
  </r>
  <r>
    <n v="1121311"/>
    <s v="Campanha C"/>
    <x v="1"/>
    <x v="0"/>
    <x v="12"/>
    <n v="140749"/>
    <n v="19"/>
    <n v="30.479999899999999"/>
    <n v="9"/>
    <n v="765"/>
    <n v="734.52000009999995"/>
    <n v="1.349920780964696E-4"/>
    <n v="0.47"/>
    <n v="1.6042105210526316"/>
    <n v="3.3866666555555556"/>
    <n v="24.098425279194309"/>
  </r>
  <r>
    <n v="1121312"/>
    <s v="Campanha C"/>
    <x v="1"/>
    <x v="0"/>
    <x v="12"/>
    <n v="102525"/>
    <n v="13"/>
    <n v="20.299999830000001"/>
    <n v="10"/>
    <n v="850"/>
    <n v="829.70000016999995"/>
    <n v="1.2679834186783711E-4"/>
    <n v="0.77"/>
    <n v="1.5615384484615384"/>
    <n v="2.0299999830000002"/>
    <n v="40.871921532917568"/>
  </r>
  <r>
    <n v="1121316"/>
    <s v="Campanha C"/>
    <x v="1"/>
    <x v="0"/>
    <x v="17"/>
    <n v="447952"/>
    <n v="68"/>
    <n v="131.5799983"/>
    <n v="18"/>
    <n v="1530"/>
    <n v="1398.4200017000001"/>
    <n v="1.5180197878344109E-4"/>
    <n v="0.26"/>
    <n v="1.934999975"/>
    <n v="7.3099999055555553"/>
    <n v="10.627907126975545"/>
  </r>
  <r>
    <n v="1121317"/>
    <s v="Campanha C"/>
    <x v="1"/>
    <x v="0"/>
    <x v="17"/>
    <n v="76355"/>
    <n v="9"/>
    <n v="14.62999988"/>
    <n v="10"/>
    <n v="850"/>
    <n v="835.37000011999999"/>
    <n v="1.1787047344640168E-4"/>
    <n v="1.1100000000000001"/>
    <n v="1.6255555422222221"/>
    <n v="1.462999988"/>
    <n v="57.099795418453553"/>
  </r>
  <r>
    <n v="1121319"/>
    <s v="Campanha C"/>
    <x v="1"/>
    <x v="0"/>
    <x v="2"/>
    <n v="256598"/>
    <n v="38"/>
    <n v="64.469999310000006"/>
    <n v="16"/>
    <n v="1360"/>
    <n v="1295.53000069"/>
    <n v="1.4809156735438311E-4"/>
    <n v="0.42"/>
    <n v="1.6965789292105264"/>
    <n v="4.0293749568750004"/>
    <n v="20.095083210107138"/>
  </r>
  <r>
    <n v="1121321"/>
    <s v="Campanha C"/>
    <x v="1"/>
    <x v="0"/>
    <x v="2"/>
    <n v="127476"/>
    <n v="21"/>
    <n v="30.15000057"/>
    <n v="12"/>
    <n v="1020"/>
    <n v="989.84999943000003"/>
    <n v="1.6473689165019299E-4"/>
    <n v="0.56999999999999995"/>
    <n v="1.4357143128571428"/>
    <n v="2.5125000475000001"/>
    <n v="32.83084513155616"/>
  </r>
  <r>
    <n v="1121322"/>
    <s v="Campanha C"/>
    <x v="1"/>
    <x v="0"/>
    <x v="2"/>
    <n v="237603"/>
    <n v="37"/>
    <n v="62.250000239999999"/>
    <n v="14"/>
    <n v="1190"/>
    <n v="1127.74999976"/>
    <n v="1.5572193953780045E-4"/>
    <n v="0.38"/>
    <n v="1.6824324389189189"/>
    <n v="4.4464285885714281"/>
    <n v="18.116465789751778"/>
  </r>
  <r>
    <n v="1121327"/>
    <s v="Campanha C"/>
    <x v="1"/>
    <x v="0"/>
    <x v="10"/>
    <n v="271091"/>
    <n v="42"/>
    <n v="78.039999839999993"/>
    <n v="12"/>
    <n v="1020"/>
    <n v="941.96000016000005"/>
    <n v="1.5492952550988414E-4"/>
    <n v="0.28999999999999998"/>
    <n v="1.8580952342857142"/>
    <n v="6.5033333199999994"/>
    <n v="12.070220426591945"/>
  </r>
  <r>
    <n v="1121330"/>
    <s v="Campanha C"/>
    <x v="1"/>
    <x v="0"/>
    <x v="10"/>
    <n v="21743"/>
    <n v="2"/>
    <n v="3.4000000950000002"/>
    <n v="9"/>
    <n v="765"/>
    <n v="761.599999905"/>
    <n v="9.1983626914409237E-5"/>
    <n v="4.5"/>
    <n v="1.7000000475000001"/>
    <n v="0.37777778833333336"/>
    <n v="223.99999371323545"/>
  </r>
  <r>
    <n v="1121333"/>
    <s v="Campanha C"/>
    <x v="1"/>
    <x v="0"/>
    <x v="22"/>
    <n v="88970"/>
    <n v="10"/>
    <n v="14.830000399999999"/>
    <n v="10"/>
    <n v="850"/>
    <n v="835.16999959999998"/>
    <n v="1.1239743733842868E-4"/>
    <n v="1"/>
    <n v="1.4830000399999999"/>
    <n v="1.4830000399999999"/>
    <n v="56.316249296931915"/>
  </r>
  <r>
    <n v="1121334"/>
    <s v="Campanha C"/>
    <x v="1"/>
    <x v="0"/>
    <x v="22"/>
    <n v="108362"/>
    <n v="13"/>
    <n v="22.42999983"/>
    <n v="10"/>
    <n v="850"/>
    <n v="827.57000016999996"/>
    <n v="1.1996825455417951E-4"/>
    <n v="0.77"/>
    <n v="1.7253846023076922"/>
    <n v="2.2429999829999998"/>
    <n v="36.89567572190213"/>
  </r>
  <r>
    <n v="1121335"/>
    <s v="Campanha C"/>
    <x v="1"/>
    <x v="0"/>
    <x v="22"/>
    <n v="188596"/>
    <n v="27"/>
    <n v="44.14000034"/>
    <n v="11"/>
    <n v="935"/>
    <n v="890.85999965999997"/>
    <n v="1.4316316358777492E-4"/>
    <n v="0.41"/>
    <n v="1.6348148274074075"/>
    <n v="4.012727303636364"/>
    <n v="20.182600652422195"/>
  </r>
  <r>
    <n v="1121336"/>
    <s v="Campanha C"/>
    <x v="1"/>
    <x v="0"/>
    <x v="22"/>
    <n v="275080"/>
    <n v="43"/>
    <n v="69.659999970000001"/>
    <n v="15"/>
    <n v="1275"/>
    <n v="1205.3400000300001"/>
    <n v="1.563181619892395E-4"/>
    <n v="0.35"/>
    <n v="1.6199999993023255"/>
    <n v="4.643999998"/>
    <n v="17.30318691572058"/>
  </r>
  <r>
    <n v="1121337"/>
    <s v="Campanha C"/>
    <x v="1"/>
    <x v="0"/>
    <x v="20"/>
    <n v="64647"/>
    <n v="10"/>
    <n v="16.269999980000001"/>
    <n v="9"/>
    <n v="765"/>
    <n v="748.73000002000003"/>
    <n v="1.5468621900474887E-4"/>
    <n v="0.9"/>
    <n v="1.6269999980000001"/>
    <n v="1.8077777755555557"/>
    <n v="46.019053530447515"/>
  </r>
  <r>
    <n v="1121338"/>
    <s v="Campanha C"/>
    <x v="1"/>
    <x v="0"/>
    <x v="20"/>
    <n v="31265"/>
    <n v="4"/>
    <n v="5.7899999019999999"/>
    <n v="9"/>
    <n v="765"/>
    <n v="759.21000009800002"/>
    <n v="1.2793858947705101E-4"/>
    <n v="2.25"/>
    <n v="1.4474999755"/>
    <n v="0.64333332244444441"/>
    <n v="131.12435456790791"/>
  </r>
  <r>
    <n v="1121340"/>
    <s v="Campanha C"/>
    <x v="1"/>
    <x v="0"/>
    <x v="20"/>
    <n v="140147"/>
    <n v="24"/>
    <n v="42.080000159999997"/>
    <n v="10"/>
    <n v="850"/>
    <n v="807.91999983999995"/>
    <n v="1.7124876023032957E-4"/>
    <n v="0.42"/>
    <n v="1.75333334"/>
    <n v="4.2080000159999997"/>
    <n v="19.19961969505848"/>
  </r>
  <r>
    <n v="1121341"/>
    <s v="Campanha C"/>
    <x v="1"/>
    <x v="0"/>
    <x v="20"/>
    <n v="223120"/>
    <n v="40"/>
    <n v="67.669999840000003"/>
    <n v="9"/>
    <n v="765"/>
    <n v="697.33000016000005"/>
    <n v="1.7927572606669058E-4"/>
    <n v="0.23"/>
    <n v="1.691749996"/>
    <n v="7.5188888711111117"/>
    <n v="10.30486185619592"/>
  </r>
  <r>
    <n v="1121342"/>
    <s v="Campanha C"/>
    <x v="1"/>
    <x v="0"/>
    <x v="20"/>
    <n v="104869"/>
    <n v="18"/>
    <n v="34.070000890000003"/>
    <n v="9"/>
    <n v="765"/>
    <n v="730.92999911000004"/>
    <n v="1.7164271615062603E-4"/>
    <n v="0.5"/>
    <n v="1.8927778272222224"/>
    <n v="3.7855556544444449"/>
    <n v="21.453771060057051"/>
  </r>
  <r>
    <n v="1121344"/>
    <s v="Campanha C"/>
    <x v="1"/>
    <x v="0"/>
    <x v="9"/>
    <n v="165177"/>
    <n v="23"/>
    <n v="41.71999967"/>
    <n v="13"/>
    <n v="1105"/>
    <n v="1063.2800003299999"/>
    <n v="1.3924456794832209E-4"/>
    <n v="0.56999999999999995"/>
    <n v="1.8139130291304348"/>
    <n v="3.2092307438461538"/>
    <n v="25.486098004324358"/>
  </r>
  <r>
    <n v="1121345"/>
    <s v="Campanha C"/>
    <x v="1"/>
    <x v="0"/>
    <x v="9"/>
    <n v="84194"/>
    <n v="11"/>
    <n v="19.569999809999999"/>
    <n v="9"/>
    <n v="765"/>
    <n v="745.43000018999999"/>
    <n v="1.3065064018813691E-4"/>
    <n v="0.82"/>
    <n v="1.7790908918181818"/>
    <n v="2.1744444233333331"/>
    <n v="38.090444937515819"/>
  </r>
  <r>
    <n v="1121347"/>
    <s v="Campanha C"/>
    <x v="1"/>
    <x v="0"/>
    <x v="9"/>
    <n v="220581"/>
    <n v="31"/>
    <n v="57.37"/>
    <n v="9"/>
    <n v="765"/>
    <n v="707.63"/>
    <n v="1.4053794297786302E-4"/>
    <n v="0.28999999999999998"/>
    <n v="1.8506451612903225"/>
    <n v="6.3744444444444444"/>
    <n v="12.334495380861078"/>
  </r>
  <r>
    <n v="1121350"/>
    <s v="Campanha C"/>
    <x v="1"/>
    <x v="0"/>
    <x v="15"/>
    <n v="75804"/>
    <n v="10"/>
    <n v="17.36999965"/>
    <n v="11"/>
    <n v="935"/>
    <n v="917.63000035000005"/>
    <n v="1.3191915993878952E-4"/>
    <n v="1.1000000000000001"/>
    <n v="1.7369999650000001"/>
    <n v="1.5790908772727272"/>
    <n v="52.828440923428573"/>
  </r>
  <r>
    <n v="1121352"/>
    <s v="Campanha C"/>
    <x v="1"/>
    <x v="0"/>
    <x v="15"/>
    <n v="368986"/>
    <n v="59"/>
    <n v="100.28999899999999"/>
    <n v="7"/>
    <n v="595"/>
    <n v="494.71000100000003"/>
    <n v="1.5989766549408379E-4"/>
    <n v="0.12"/>
    <n v="1.6998304915254236"/>
    <n v="14.327142714285714"/>
    <n v="4.9327949539614622"/>
  </r>
  <r>
    <n v="1121353"/>
    <s v="Campanha C"/>
    <x v="1"/>
    <x v="0"/>
    <x v="15"/>
    <n v="28194"/>
    <n v="3"/>
    <n v="3.7099999189999999"/>
    <n v="10"/>
    <n v="850"/>
    <n v="846.29000008100002"/>
    <n v="1.0640561821664184E-4"/>
    <n v="3.33"/>
    <n v="1.2366666396666666"/>
    <n v="0.37099999189999999"/>
    <n v="228.11051713152344"/>
  </r>
  <r>
    <n v="1121355"/>
    <s v="Campanha C"/>
    <x v="1"/>
    <x v="0"/>
    <x v="18"/>
    <n v="99961"/>
    <n v="14"/>
    <n v="23.209999799999999"/>
    <n v="10"/>
    <n v="850"/>
    <n v="826.79000020000001"/>
    <n v="1.4005462130230791E-4"/>
    <n v="0.71"/>
    <n v="1.6578571285714285"/>
    <n v="2.3209999799999999"/>
    <n v="35.622145942457095"/>
  </r>
  <r>
    <n v="1121359"/>
    <s v="Campanha C"/>
    <x v="1"/>
    <x v="0"/>
    <x v="18"/>
    <n v="7573"/>
    <n v="0"/>
    <n v="0"/>
    <n v="0"/>
    <n v="0"/>
    <n v="0"/>
    <n v="0"/>
    <n v="0"/>
    <n v="0"/>
    <n v="0"/>
    <n v="0"/>
  </r>
  <r>
    <n v="1121361"/>
    <s v="Campanha C"/>
    <x v="1"/>
    <x v="0"/>
    <x v="5"/>
    <n v="685781"/>
    <n v="103"/>
    <n v="177.88999920000001"/>
    <n v="19"/>
    <n v="1615"/>
    <n v="1437.1100008000001"/>
    <n v="1.5019372073592007E-4"/>
    <n v="0.18"/>
    <n v="1.7270873708737864"/>
    <n v="9.3626315368421054"/>
    <n v="8.0786441467362717"/>
  </r>
  <r>
    <n v="1121364"/>
    <s v="Campanha C"/>
    <x v="1"/>
    <x v="0"/>
    <x v="5"/>
    <n v="274222"/>
    <n v="43"/>
    <n v="66.770000100000004"/>
    <n v="11"/>
    <n v="935"/>
    <n v="868.22999989999994"/>
    <n v="1.568072583527215E-4"/>
    <n v="0.26"/>
    <n v="1.5527907000000001"/>
    <n v="6.0700000090909096"/>
    <n v="13.003294871943543"/>
  </r>
  <r>
    <n v="1121365"/>
    <s v="Campanha C"/>
    <x v="1"/>
    <x v="0"/>
    <x v="5"/>
    <n v="110503"/>
    <n v="25"/>
    <n v="32.679999950000003"/>
    <n v="11"/>
    <n v="935"/>
    <n v="902.32000004999998"/>
    <n v="2.2623820167778249E-4"/>
    <n v="0.44"/>
    <n v="1.3071999980000002"/>
    <n v="2.9709090863636365"/>
    <n v="27.610771157605217"/>
  </r>
  <r>
    <n v="1121367"/>
    <s v="Campanha C"/>
    <x v="1"/>
    <x v="0"/>
    <x v="3"/>
    <n v="1447755"/>
    <n v="233"/>
    <n v="420.5799983"/>
    <n v="27"/>
    <n v="2295"/>
    <n v="1874.4200017000001"/>
    <n v="1.6093883288263554E-4"/>
    <n v="0.12"/>
    <n v="1.8050643703862661"/>
    <n v="15.577036974074074"/>
    <n v="4.4567502241582471"/>
  </r>
  <r>
    <n v="1121368"/>
    <s v="Campanha C"/>
    <x v="1"/>
    <x v="0"/>
    <x v="3"/>
    <n v="358987"/>
    <n v="52"/>
    <n v="87.550000670000003"/>
    <n v="9"/>
    <n v="765"/>
    <n v="677.44999932999997"/>
    <n v="1.4485204199594972E-4"/>
    <n v="0.17"/>
    <n v="1.6836538590384615"/>
    <n v="9.7277778522222231"/>
    <n v="7.7378640108010401"/>
  </r>
  <r>
    <n v="1121369"/>
    <s v="Campanha C"/>
    <x v="1"/>
    <x v="0"/>
    <x v="3"/>
    <n v="826205"/>
    <n v="125"/>
    <n v="232.37000080000001"/>
    <n v="13"/>
    <n v="1105"/>
    <n v="872.62999919999993"/>
    <n v="1.5129417033302872E-4"/>
    <n v="0.1"/>
    <n v="1.8589600064"/>
    <n v="17.874615446153847"/>
    <n v="3.7553470594126703"/>
  </r>
  <r>
    <n v="1121370"/>
    <s v="Campanha C"/>
    <x v="1"/>
    <x v="0"/>
    <x v="3"/>
    <n v="550954"/>
    <n v="84"/>
    <n v="150.1400012"/>
    <n v="12"/>
    <n v="1020"/>
    <n v="869.85999879999997"/>
    <n v="1.5246281903752399E-4"/>
    <n v="0.14000000000000001"/>
    <n v="1.7873809666666667"/>
    <n v="12.511666766666666"/>
    <n v="5.7936591970667974"/>
  </r>
  <r>
    <n v="1121372"/>
    <s v="Campanha C"/>
    <x v="1"/>
    <x v="0"/>
    <x v="3"/>
    <n v="378350"/>
    <n v="55"/>
    <n v="96.48000073"/>
    <n v="11"/>
    <n v="935"/>
    <n v="838.51999926999997"/>
    <n v="1.4536804546055239E-4"/>
    <n v="0.2"/>
    <n v="1.7541818314545454"/>
    <n v="8.7709091572727278"/>
    <n v="8.6911276215327202"/>
  </r>
  <r>
    <n v="1121373"/>
    <s v="Campanha C"/>
    <x v="1"/>
    <x v="0"/>
    <x v="4"/>
    <n v="492784"/>
    <n v="56"/>
    <n v="95.510001299999999"/>
    <n v="19"/>
    <n v="1615"/>
    <n v="1519.4899986999999"/>
    <n v="1.136400532484821E-4"/>
    <n v="0.34"/>
    <n v="1.7055357375"/>
    <n v="5.0268421736842104"/>
    <n v="15.909223934855081"/>
  </r>
  <r>
    <n v="1121374"/>
    <s v="Campanha C"/>
    <x v="1"/>
    <x v="0"/>
    <x v="4"/>
    <n v="327158"/>
    <n v="43"/>
    <n v="72.310000299999999"/>
    <n v="16"/>
    <n v="1360"/>
    <n v="1287.6899997"/>
    <n v="1.3143496414576444E-4"/>
    <n v="0.37"/>
    <n v="1.6816279139534884"/>
    <n v="4.5193750187499999"/>
    <n v="17.80791030780842"/>
  </r>
  <r>
    <n v="1121375"/>
    <s v="Campanha C"/>
    <x v="1"/>
    <x v="0"/>
    <x v="4"/>
    <n v="9921"/>
    <n v="0"/>
    <n v="0"/>
    <n v="0"/>
    <n v="0"/>
    <n v="0"/>
    <n v="0"/>
    <n v="0"/>
    <n v="0"/>
    <n v="0"/>
    <n v="0"/>
  </r>
  <r>
    <n v="1121377"/>
    <s v="Campanha C"/>
    <x v="1"/>
    <x v="0"/>
    <x v="4"/>
    <n v="59390"/>
    <n v="5"/>
    <n v="9.2099999189999995"/>
    <n v="15"/>
    <n v="1275"/>
    <n v="1265.790000081"/>
    <n v="8.418925745074928E-5"/>
    <n v="3"/>
    <n v="1.8419999837999999"/>
    <n v="0.61399999459999999"/>
    <n v="137.43648330221012"/>
  </r>
  <r>
    <n v="1121378"/>
    <s v="Campanha C"/>
    <x v="1"/>
    <x v="0"/>
    <x v="4"/>
    <n v="1040330"/>
    <n v="147"/>
    <n v="254.2500038"/>
    <n v="23"/>
    <n v="1955"/>
    <n v="1700.7499961999999"/>
    <n v="1.4130131785106649E-4"/>
    <n v="0.16"/>
    <n v="1.7295918625850339"/>
    <n v="11.054347991304349"/>
    <n v="6.6892820876331482"/>
  </r>
  <r>
    <n v="1121379"/>
    <s v="Campanha C"/>
    <x v="1"/>
    <x v="0"/>
    <x v="8"/>
    <n v="49422"/>
    <n v="6"/>
    <n v="11.170000310000001"/>
    <n v="9"/>
    <n v="765"/>
    <n v="753.82999969000002"/>
    <n v="1.2140342357654485E-4"/>
    <n v="1.5"/>
    <n v="1.8616667183333335"/>
    <n v="1.2411111455555557"/>
    <n v="67.487016899644118"/>
  </r>
  <r>
    <n v="1121380"/>
    <s v="Campanha C"/>
    <x v="1"/>
    <x v="0"/>
    <x v="8"/>
    <n v="131091"/>
    <n v="18"/>
    <n v="34.230000259999997"/>
    <n v="12"/>
    <n v="1020"/>
    <n v="985.76999974"/>
    <n v="1.3730919742774102E-4"/>
    <n v="0.67"/>
    <n v="1.9016666811111109"/>
    <n v="2.8525000216666663"/>
    <n v="28.79842221012008"/>
  </r>
  <r>
    <n v="1121381"/>
    <s v="Campanha C"/>
    <x v="1"/>
    <x v="0"/>
    <x v="8"/>
    <n v="95691"/>
    <n v="15"/>
    <n v="25.26000011"/>
    <n v="11"/>
    <n v="935"/>
    <n v="909.73999989000004"/>
    <n v="1.5675455371978557E-4"/>
    <n v="0.73"/>
    <n v="1.6840000073333334"/>
    <n v="2.2963636463636363"/>
    <n v="36.015043385920237"/>
  </r>
  <r>
    <n v="1121390"/>
    <s v="Campanha C"/>
    <x v="1"/>
    <x v="0"/>
    <x v="6"/>
    <n v="15513"/>
    <n v="1"/>
    <n v="1.289999962"/>
    <n v="9"/>
    <n v="765"/>
    <n v="763.71000003799998"/>
    <n v="6.4462064075291697E-5"/>
    <n v="9"/>
    <n v="1.289999962"/>
    <n v="0.1433333291111111"/>
    <n v="592.02327328285605"/>
  </r>
  <r>
    <n v="1121391"/>
    <s v="Campanha C"/>
    <x v="1"/>
    <x v="0"/>
    <x v="11"/>
    <n v="382537"/>
    <n v="63"/>
    <n v="113.99000119999999"/>
    <n v="15"/>
    <n v="1275"/>
    <n v="1161.0099987999999"/>
    <n v="1.6468995156024123E-4"/>
    <n v="0.24"/>
    <n v="1.8093650984126983"/>
    <n v="7.5993334133333326"/>
    <n v="10.18519156573182"/>
  </r>
  <r>
    <n v="1121394"/>
    <s v="Campanha C"/>
    <x v="1"/>
    <x v="0"/>
    <x v="11"/>
    <n v="461356"/>
    <n v="64"/>
    <n v="121.0999982"/>
    <n v="17"/>
    <n v="1445"/>
    <n v="1323.9000017999999"/>
    <n v="1.3872150790279091E-4"/>
    <n v="0.27"/>
    <n v="1.892187471875"/>
    <n v="7.1235293058823528"/>
    <n v="10.932287543171903"/>
  </r>
  <r>
    <n v="1121395"/>
    <s v="Campanha C"/>
    <x v="1"/>
    <x v="0"/>
    <x v="11"/>
    <n v="392541"/>
    <n v="53"/>
    <n v="98.700000169999996"/>
    <n v="13"/>
    <n v="1105"/>
    <n v="1006.29999983"/>
    <n v="1.3501774336948242E-4"/>
    <n v="0.25"/>
    <n v="1.8622641541509433"/>
    <n v="7.5923077053846146"/>
    <n v="10.195542027322775"/>
  </r>
  <r>
    <n v="1121398"/>
    <s v="Campanha C"/>
    <x v="1"/>
    <x v="0"/>
    <x v="19"/>
    <n v="35088"/>
    <n v="5"/>
    <n v="8.8000000719999996"/>
    <n v="10"/>
    <n v="850"/>
    <n v="841.19999992800001"/>
    <n v="1.4249886000911993E-4"/>
    <n v="2"/>
    <n v="1.7600000143999999"/>
    <n v="0.88000000719999993"/>
    <n v="95.590908300619844"/>
  </r>
  <r>
    <n v="1121400"/>
    <s v="Campanha C"/>
    <x v="1"/>
    <x v="0"/>
    <x v="19"/>
    <n v="53933"/>
    <n v="6"/>
    <n v="9.9299999480000007"/>
    <n v="12"/>
    <n v="1020"/>
    <n v="1010.070000052"/>
    <n v="1.1124914245452691E-4"/>
    <n v="2"/>
    <n v="1.6549999913333335"/>
    <n v="0.82749999566666677"/>
    <n v="101.71903377053269"/>
  </r>
  <r>
    <n v="1121403"/>
    <s v="Campanha C"/>
    <x v="1"/>
    <x v="0"/>
    <x v="13"/>
    <n v="228861"/>
    <n v="33"/>
    <n v="53.38999939"/>
    <n v="13"/>
    <n v="1105"/>
    <n v="1051.61000061"/>
    <n v="1.4419232634655971E-4"/>
    <n v="0.39"/>
    <n v="1.6178787693939394"/>
    <n v="4.1069230299999999"/>
    <n v="19.696759929294316"/>
  </r>
  <r>
    <n v="1121405"/>
    <s v="Campanha C"/>
    <x v="1"/>
    <x v="0"/>
    <x v="13"/>
    <n v="20959"/>
    <n v="2"/>
    <n v="3.7699999809999998"/>
    <n v="11"/>
    <n v="935"/>
    <n v="931.23000001900004"/>
    <n v="9.5424400019084886E-5"/>
    <n v="5.5"/>
    <n v="1.8849999904999999"/>
    <n v="0.342727271"/>
    <n v="247.01061132949647"/>
  </r>
  <r>
    <n v="1121410"/>
    <s v="Campanha C"/>
    <x v="1"/>
    <x v="0"/>
    <x v="21"/>
    <n v="24992"/>
    <n v="2"/>
    <n v="3.1900000569999998"/>
    <n v="10"/>
    <n v="850"/>
    <n v="846.80999994299998"/>
    <n v="8.0025608194622276E-5"/>
    <n v="5"/>
    <n v="1.5950000284999999"/>
    <n v="0.31900000569999998"/>
    <n v="265.45767548962777"/>
  </r>
  <r>
    <n v="1121411"/>
    <s v="Campanha C"/>
    <x v="1"/>
    <x v="0"/>
    <x v="21"/>
    <n v="100351"/>
    <n v="15"/>
    <n v="24.179999949999999"/>
    <n v="11"/>
    <n v="935"/>
    <n v="910.82000004999998"/>
    <n v="1.4947534155115546E-4"/>
    <n v="0.73"/>
    <n v="1.6119999966666667"/>
    <n v="2.1981818136363636"/>
    <n v="37.668321006344748"/>
  </r>
  <r>
    <n v="1121412"/>
    <s v="Campanha C"/>
    <x v="1"/>
    <x v="0"/>
    <x v="21"/>
    <n v="292448"/>
    <n v="43"/>
    <n v="76.899999679999993"/>
    <n v="11"/>
    <n v="935"/>
    <n v="858.10000032000005"/>
    <n v="1.4703468650837073E-4"/>
    <n v="0.26"/>
    <n v="1.7883720855813952"/>
    <n v="6.9909090618181811"/>
    <n v="11.158647644873438"/>
  </r>
  <r>
    <n v="1121413"/>
    <s v="Campanha C"/>
    <x v="1"/>
    <x v="0"/>
    <x v="21"/>
    <n v="65060"/>
    <n v="7"/>
    <n v="14.520000100000001"/>
    <n v="10"/>
    <n v="850"/>
    <n v="835.47999990000005"/>
    <n v="1.0759299108515216E-4"/>
    <n v="1.43"/>
    <n v="2.0742857285714287"/>
    <n v="1.4520000100000001"/>
    <n v="57.539944500413604"/>
  </r>
  <r>
    <n v="1121414"/>
    <s v="Campanha C"/>
    <x v="1"/>
    <x v="0"/>
    <x v="21"/>
    <n v="133316"/>
    <n v="21"/>
    <n v="36.170000549999997"/>
    <n v="10"/>
    <n v="850"/>
    <n v="813.82999945000006"/>
    <n v="1.5752047766209607E-4"/>
    <n v="0.48"/>
    <n v="1.7223809785714284"/>
    <n v="3.6170000549999997"/>
    <n v="22.500137878764839"/>
  </r>
  <r>
    <n v="1121415"/>
    <s v="Campanha C"/>
    <x v="1"/>
    <x v="0"/>
    <x v="14"/>
    <n v="113501"/>
    <n v="26"/>
    <n v="38.440000769999997"/>
    <n v="18"/>
    <n v="1530"/>
    <n v="1491.5599992299999"/>
    <n v="2.2907287160465545E-4"/>
    <n v="0.69"/>
    <n v="1.4784615680769231"/>
    <n v="2.1355555983333332"/>
    <n v="38.802288484709621"/>
  </r>
  <r>
    <n v="1121418"/>
    <s v="Campanha C"/>
    <x v="1"/>
    <x v="0"/>
    <x v="14"/>
    <n v="192810"/>
    <n v="41"/>
    <n v="61.929999950000003"/>
    <n v="15"/>
    <n v="1275"/>
    <n v="1213.0700000500001"/>
    <n v="2.126445723769514E-4"/>
    <n v="0.37"/>
    <n v="1.5104878036585367"/>
    <n v="4.1286666633333331"/>
    <n v="19.587760391238302"/>
  </r>
  <r>
    <n v="1121421"/>
    <s v="Campanha C"/>
    <x v="1"/>
    <x v="0"/>
    <x v="23"/>
    <n v="233404"/>
    <n v="43"/>
    <n v="70.410000800000006"/>
    <n v="11"/>
    <n v="935"/>
    <n v="864.58999919999997"/>
    <n v="1.8422991893883567E-4"/>
    <n v="0.26"/>
    <n v="1.6374418790697676"/>
    <n v="6.4009091636363644"/>
    <n v="12.279363575862932"/>
  </r>
  <r>
    <n v="1121422"/>
    <s v="Campanha C"/>
    <x v="1"/>
    <x v="0"/>
    <x v="23"/>
    <n v="128843"/>
    <n v="24"/>
    <n v="37.5999999"/>
    <n v="9"/>
    <n v="765"/>
    <n v="727.40000009999994"/>
    <n v="1.8627321623991992E-4"/>
    <n v="0.38"/>
    <n v="1.5666666625000001"/>
    <n v="4.1777777666666669"/>
    <n v="19.345744734962086"/>
  </r>
  <r>
    <n v="1121423"/>
    <s v="Campanha C"/>
    <x v="1"/>
    <x v="0"/>
    <x v="23"/>
    <n v="63564"/>
    <n v="12"/>
    <n v="20.590000270000001"/>
    <n v="11"/>
    <n v="935"/>
    <n v="914.40999972999998"/>
    <n v="1.8878610534264677E-4"/>
    <n v="0.92"/>
    <n v="1.7158333558333334"/>
    <n v="1.8718182063636364"/>
    <n v="44.410392799378045"/>
  </r>
  <r>
    <n v="1121425"/>
    <s v="Campanha C"/>
    <x v="1"/>
    <x v="0"/>
    <x v="23"/>
    <n v="85970"/>
    <n v="14"/>
    <n v="24.780000210000001"/>
    <n v="11"/>
    <n v="935"/>
    <n v="910.21999978999997"/>
    <n v="1.6284750494358497E-4"/>
    <n v="0.79"/>
    <n v="1.7700000150000001"/>
    <n v="2.2527272918181818"/>
    <n v="36.732041649567037"/>
  </r>
  <r>
    <n v="1121428"/>
    <s v="Campanha C"/>
    <x v="1"/>
    <x v="0"/>
    <x v="7"/>
    <n v="131232"/>
    <n v="16"/>
    <n v="29.53999937"/>
    <n v="10"/>
    <n v="850"/>
    <n v="820.46000062999997"/>
    <n v="1.21921482565228E-4"/>
    <n v="0.63"/>
    <n v="1.846249960625"/>
    <n v="2.9539999369999999"/>
    <n v="27.774543606227571"/>
  </r>
  <r>
    <n v="1121429"/>
    <s v="Campanha C"/>
    <x v="1"/>
    <x v="0"/>
    <x v="7"/>
    <n v="152454"/>
    <n v="22"/>
    <n v="37.849999789999998"/>
    <n v="10"/>
    <n v="850"/>
    <n v="812.15000021000003"/>
    <n v="1.443058233959096E-4"/>
    <n v="0.45"/>
    <n v="1.7204545359090908"/>
    <n v="3.7849999789999997"/>
    <n v="21.457067495798793"/>
  </r>
  <r>
    <n v="1121430"/>
    <s v="Campanha C"/>
    <x v="1"/>
    <x v="0"/>
    <x v="7"/>
    <n v="28989"/>
    <n v="2"/>
    <n v="2.290000021"/>
    <n v="8"/>
    <n v="680"/>
    <n v="677.70999997900003"/>
    <n v="6.8991686501776532E-5"/>
    <n v="4"/>
    <n v="1.1450000105"/>
    <n v="0.286250002625"/>
    <n v="295.94322871798789"/>
  </r>
  <r>
    <n v="1121433"/>
    <s v="Campanha C"/>
    <x v="1"/>
    <x v="0"/>
    <x v="24"/>
    <n v="80248"/>
    <n v="15"/>
    <n v="24.190000300000001"/>
    <n v="11"/>
    <n v="935"/>
    <n v="910.80999970000005"/>
    <n v="1.8692054630645001E-4"/>
    <n v="0.73"/>
    <n v="1.6126666866666668"/>
    <n v="2.1990909363636364"/>
    <n v="37.652335196539866"/>
  </r>
  <r>
    <n v="1121437"/>
    <s v="Campanha C"/>
    <x v="1"/>
    <x v="0"/>
    <x v="24"/>
    <n v="38580"/>
    <n v="5"/>
    <n v="8.5199999809999998"/>
    <n v="10"/>
    <n v="850"/>
    <n v="841.48000001900004"/>
    <n v="1.2960082944530845E-4"/>
    <n v="2"/>
    <n v="1.7039999961999999"/>
    <n v="0.85199999809999993"/>
    <n v="98.765258438443652"/>
  </r>
  <r>
    <n v="1121439"/>
    <s v="Campanha C"/>
    <x v="2"/>
    <x v="0"/>
    <x v="16"/>
    <n v="621591"/>
    <n v="91"/>
    <n v="163.36000000000001"/>
    <n v="15"/>
    <n v="1275"/>
    <n v="1111.6399999999999"/>
    <n v="1.4639851606603057E-4"/>
    <n v="0.16"/>
    <n v="1.7951648351648353"/>
    <n v="10.890666666666668"/>
    <n v="6.8048481880509293"/>
  </r>
  <r>
    <n v="1121440"/>
    <s v="Campanha C"/>
    <x v="2"/>
    <x v="0"/>
    <x v="16"/>
    <n v="250499"/>
    <n v="36"/>
    <n v="58.140000049999998"/>
    <n v="12"/>
    <n v="1020"/>
    <n v="961.85999994999997"/>
    <n v="1.4371314855548325E-4"/>
    <n v="0.33"/>
    <n v="1.6150000013888888"/>
    <n v="4.8450000041666668"/>
    <n v="16.543859634035208"/>
  </r>
  <r>
    <n v="1121442"/>
    <s v="Campanha C"/>
    <x v="2"/>
    <x v="0"/>
    <x v="16"/>
    <n v="131637"/>
    <n v="18"/>
    <n v="29.309999820000002"/>
    <n v="11"/>
    <n v="935"/>
    <n v="905.69000017999997"/>
    <n v="1.367396704573942E-4"/>
    <n v="0.61"/>
    <n v="1.6283333233333335"/>
    <n v="2.6645454381818183"/>
    <n v="30.900375494441061"/>
  </r>
  <r>
    <n v="1121443"/>
    <s v="Campanha C"/>
    <x v="2"/>
    <x v="0"/>
    <x v="16"/>
    <n v="463813"/>
    <n v="69"/>
    <n v="116.3399996"/>
    <n v="13"/>
    <n v="1105"/>
    <n v="988.66000039999994"/>
    <n v="1.4876685215808958E-4"/>
    <n v="0.19"/>
    <n v="1.6860869507246377"/>
    <n v="8.949230738461539"/>
    <n v="8.49802306858526"/>
  </r>
  <r>
    <n v="1121444"/>
    <s v="Campanha C"/>
    <x v="2"/>
    <x v="0"/>
    <x v="16"/>
    <n v="211767"/>
    <n v="35"/>
    <n v="60.899999139999998"/>
    <n v="14"/>
    <n v="1190"/>
    <n v="1129.1000008599999"/>
    <n v="1.652759872879155E-4"/>
    <n v="0.4"/>
    <n v="1.7399999754285713"/>
    <n v="4.3499999385714281"/>
    <n v="18.540230160995041"/>
  </r>
  <r>
    <n v="1121446"/>
    <s v="Campanha C"/>
    <x v="2"/>
    <x v="0"/>
    <x v="0"/>
    <n v="163181"/>
    <n v="26"/>
    <n v="40.020000930000002"/>
    <n v="10"/>
    <n v="850"/>
    <n v="809.97999906999996"/>
    <n v="1.5933227520360826E-4"/>
    <n v="0.38"/>
    <n v="1.5392308050000001"/>
    <n v="4.0020000930000004"/>
    <n v="20.23937981627628"/>
  </r>
  <r>
    <n v="1121451"/>
    <s v="Campanha C"/>
    <x v="2"/>
    <x v="0"/>
    <x v="1"/>
    <n v="1117385"/>
    <n v="147"/>
    <n v="260.06999839999997"/>
    <n v="21"/>
    <n v="1785"/>
    <n v="1524.9300016"/>
    <n v="1.3155716248204513E-4"/>
    <n v="0.14000000000000001"/>
    <n v="1.7691836625850339"/>
    <n v="12.384285638095237"/>
    <n v="5.8635367823342142"/>
  </r>
  <r>
    <n v="1121452"/>
    <s v="Campanha C"/>
    <x v="2"/>
    <x v="0"/>
    <x v="1"/>
    <n v="1663441"/>
    <n v="205"/>
    <n v="359.47000009999999"/>
    <n v="31"/>
    <n v="2635"/>
    <n v="2275.5299998999999"/>
    <n v="1.2323851582352486E-4"/>
    <n v="0.15"/>
    <n v="1.7535121956097561"/>
    <n v="11.59580645483871"/>
    <n v="6.3302361790051362"/>
  </r>
  <r>
    <n v="1121453"/>
    <s v="Campanha C"/>
    <x v="2"/>
    <x v="0"/>
    <x v="1"/>
    <n v="455248"/>
    <n v="54"/>
    <n v="105.7099996"/>
    <n v="15"/>
    <n v="1275"/>
    <n v="1169.2900004000001"/>
    <n v="1.1861666608090535E-4"/>
    <n v="0.28000000000000003"/>
    <n v="1.9575925851851852"/>
    <n v="7.0473333066666672"/>
    <n v="11.061299828062813"/>
  </r>
  <r>
    <n v="1121454"/>
    <s v="Campanha C"/>
    <x v="2"/>
    <x v="0"/>
    <x v="1"/>
    <n v="75589"/>
    <n v="6"/>
    <n v="10.66000009"/>
    <n v="10"/>
    <n v="850"/>
    <n v="839.33999990999996"/>
    <n v="7.9376628874571701E-5"/>
    <n v="1.67"/>
    <n v="1.7766666816666667"/>
    <n v="1.0660000090000001"/>
    <n v="78.737335161692286"/>
  </r>
  <r>
    <n v="1121455"/>
    <s v="Campanha C"/>
    <x v="2"/>
    <x v="0"/>
    <x v="1"/>
    <n v="594267"/>
    <n v="82"/>
    <n v="143.30000089999999"/>
    <n v="13"/>
    <n v="1105"/>
    <n v="961.69999910000001"/>
    <n v="1.37985114435094E-4"/>
    <n v="0.16"/>
    <n v="1.7475609865853656"/>
    <n v="11.023076992307692"/>
    <n v="6.7110955551989822"/>
  </r>
  <r>
    <n v="1121456"/>
    <s v="Campanha C"/>
    <x v="2"/>
    <x v="0"/>
    <x v="1"/>
    <n v="315281"/>
    <n v="35"/>
    <n v="65.029998539999994"/>
    <n v="9"/>
    <n v="765"/>
    <n v="699.97000146000005"/>
    <n v="1.1101208128621769E-4"/>
    <n v="0.26"/>
    <n v="1.8579999582857141"/>
    <n v="7.225555393333333"/>
    <n v="10.76380158657774"/>
  </r>
  <r>
    <n v="1121464"/>
    <s v="Campanha C"/>
    <x v="2"/>
    <x v="0"/>
    <x v="17"/>
    <n v="363456"/>
    <n v="71"/>
    <n v="117.55999970000001"/>
    <n v="16"/>
    <n v="1360"/>
    <n v="1242.4400003000001"/>
    <n v="1.95346892058461E-4"/>
    <n v="0.23"/>
    <n v="1.655774643661972"/>
    <n v="7.3474999812500004"/>
    <n v="10.568560764465534"/>
  </r>
  <r>
    <n v="1121466"/>
    <s v="Campanha C"/>
    <x v="2"/>
    <x v="0"/>
    <x v="17"/>
    <n v="438983"/>
    <n v="81"/>
    <n v="143.4300001"/>
    <n v="12"/>
    <n v="1020"/>
    <n v="876.56999989999997"/>
    <n v="1.8451739589004585E-4"/>
    <n v="0.15"/>
    <n v="1.7707407419753087"/>
    <n v="11.952500008333333"/>
    <n v="6.1114829483988817"/>
  </r>
  <r>
    <n v="1121467"/>
    <s v="Campanha C"/>
    <x v="2"/>
    <x v="0"/>
    <x v="17"/>
    <n v="42563"/>
    <n v="5"/>
    <n v="9.6599998469999999"/>
    <n v="10"/>
    <n v="850"/>
    <n v="840.34000015300001"/>
    <n v="1.1747292249136574E-4"/>
    <n v="2"/>
    <n v="1.9319999694000001"/>
    <n v="0.96599998470000004"/>
    <n v="86.991719820158707"/>
  </r>
  <r>
    <n v="1121469"/>
    <s v="Campanha C"/>
    <x v="2"/>
    <x v="0"/>
    <x v="2"/>
    <n v="399035"/>
    <n v="75"/>
    <n v="124.7999995"/>
    <n v="17"/>
    <n v="1445"/>
    <n v="1320.2000005"/>
    <n v="1.8795343766837497E-4"/>
    <n v="0.23"/>
    <n v="1.6639999933333334"/>
    <n v="7.3411764411764704"/>
    <n v="10.578525687413965"/>
  </r>
  <r>
    <n v="1121471"/>
    <s v="Campanha C"/>
    <x v="2"/>
    <x v="0"/>
    <x v="2"/>
    <n v="304680"/>
    <n v="59"/>
    <n v="98.550000190000006"/>
    <n v="12"/>
    <n v="1020"/>
    <n v="921.44999981000001"/>
    <n v="1.9364579230668241E-4"/>
    <n v="0.2"/>
    <n v="1.6703389862711866"/>
    <n v="8.2125000158333332"/>
    <n v="9.3500760835462753"/>
  </r>
  <r>
    <n v="1121472"/>
    <s v="Campanha C"/>
    <x v="2"/>
    <x v="0"/>
    <x v="2"/>
    <n v="140596"/>
    <n v="23"/>
    <n v="40.77000022"/>
    <n v="10"/>
    <n v="850"/>
    <n v="809.22999977999996"/>
    <n v="1.6358929130273978E-4"/>
    <n v="0.43"/>
    <n v="1.7726087052173913"/>
    <n v="4.077000022"/>
    <n v="19.848663120267208"/>
  </r>
  <r>
    <n v="1121473"/>
    <s v="Campanha C"/>
    <x v="2"/>
    <x v="0"/>
    <x v="2"/>
    <n v="439986"/>
    <n v="80"/>
    <n v="134.8799999"/>
    <n v="15"/>
    <n v="1275"/>
    <n v="1140.1200001"/>
    <n v="1.8182396712622674E-4"/>
    <n v="0.19"/>
    <n v="1.6859999987500001"/>
    <n v="8.9919999933333337"/>
    <n v="8.4528469820973058"/>
  </r>
  <r>
    <n v="1121474"/>
    <s v="Campanha C"/>
    <x v="2"/>
    <x v="0"/>
    <x v="2"/>
    <n v="75803"/>
    <n v="11"/>
    <n v="19.359999899999998"/>
    <n v="12"/>
    <n v="1020"/>
    <n v="1000.6400001"/>
    <n v="1.4511299025104547E-4"/>
    <n v="1.0900000000000001"/>
    <n v="1.7599999909090907"/>
    <n v="1.6133333249999999"/>
    <n v="51.68595068536132"/>
  </r>
  <r>
    <n v="1121477"/>
    <s v="Campanha C"/>
    <x v="2"/>
    <x v="0"/>
    <x v="10"/>
    <n v="7073"/>
    <n v="0"/>
    <n v="0"/>
    <n v="0"/>
    <n v="0"/>
    <n v="0"/>
    <n v="0"/>
    <n v="0"/>
    <n v="0"/>
    <n v="0"/>
    <n v="0"/>
  </r>
  <r>
    <n v="1121481"/>
    <s v="Campanha C"/>
    <x v="2"/>
    <x v="0"/>
    <x v="22"/>
    <n v="153586"/>
    <n v="28"/>
    <n v="43.010000349999999"/>
    <n v="10"/>
    <n v="850"/>
    <n v="806.98999964999996"/>
    <n v="1.8230828330707225E-4"/>
    <n v="0.36"/>
    <n v="1.5360714410714285"/>
    <n v="4.3010000349999995"/>
    <n v="18.7628456889794"/>
  </r>
  <r>
    <n v="1121482"/>
    <s v="Campanha C"/>
    <x v="2"/>
    <x v="0"/>
    <x v="22"/>
    <n v="180815"/>
    <n v="31"/>
    <n v="42.629999759999997"/>
    <n v="9"/>
    <n v="765"/>
    <n v="722.37000023999997"/>
    <n v="1.7144595304593093E-4"/>
    <n v="0.28999999999999998"/>
    <n v="1.375161282580645"/>
    <n v="4.7366666399999993"/>
    <n v="16.945109179142065"/>
  </r>
  <r>
    <n v="1121483"/>
    <s v="Campanha C"/>
    <x v="2"/>
    <x v="0"/>
    <x v="22"/>
    <n v="253169"/>
    <n v="51"/>
    <n v="75.789999839999993"/>
    <n v="9"/>
    <n v="765"/>
    <n v="689.21000016000005"/>
    <n v="2.0144646461454601E-4"/>
    <n v="0.18"/>
    <n v="1.4860784282352939"/>
    <n v="8.421111093333332"/>
    <n v="9.0936799263093935"/>
  </r>
  <r>
    <n v="1121484"/>
    <s v="Campanha C"/>
    <x v="2"/>
    <x v="0"/>
    <x v="22"/>
    <n v="34453"/>
    <n v="5"/>
    <n v="7.7100000380000004"/>
    <n v="10"/>
    <n v="850"/>
    <n v="842.28999996200002"/>
    <n v="1.4512524308478217E-4"/>
    <n v="2"/>
    <n v="1.5420000076"/>
    <n v="0.7710000038"/>
    <n v="109.24643266026401"/>
  </r>
  <r>
    <n v="1121487"/>
    <s v="Campanha C"/>
    <x v="2"/>
    <x v="0"/>
    <x v="20"/>
    <n v="51550"/>
    <n v="8"/>
    <n v="14.03999984"/>
    <n v="9"/>
    <n v="765"/>
    <n v="750.96000016000005"/>
    <n v="1.5518913676042676E-4"/>
    <n v="1.1299999999999999"/>
    <n v="1.75499998"/>
    <n v="1.5599999822222221"/>
    <n v="53.487180108116014"/>
  </r>
  <r>
    <n v="1121489"/>
    <s v="Campanha C"/>
    <x v="2"/>
    <x v="0"/>
    <x v="20"/>
    <n v="110018"/>
    <n v="24"/>
    <n v="39.85999966"/>
    <n v="9"/>
    <n v="765"/>
    <n v="725.14000034000003"/>
    <n v="2.1814612154374738E-4"/>
    <n v="0.38"/>
    <n v="1.6608333191666667"/>
    <n v="4.4288888511111111"/>
    <n v="18.192172767820843"/>
  </r>
  <r>
    <n v="1121493"/>
    <s v="Campanha C"/>
    <x v="2"/>
    <x v="0"/>
    <x v="9"/>
    <n v="137584"/>
    <n v="21"/>
    <n v="36.779999609999997"/>
    <n v="9"/>
    <n v="765"/>
    <n v="728.22000039"/>
    <n v="1.5263402721246656E-4"/>
    <n v="0.43"/>
    <n v="1.7514285528571427"/>
    <n v="4.0866666233333326"/>
    <n v="19.799347691999611"/>
  </r>
  <r>
    <n v="1121497"/>
    <s v="Campanha C"/>
    <x v="2"/>
    <x v="0"/>
    <x v="9"/>
    <n v="209825"/>
    <n v="30"/>
    <n v="54.869999530000001"/>
    <n v="10"/>
    <n v="850"/>
    <n v="795.13000047000003"/>
    <n v="1.429762897652806E-4"/>
    <n v="0.33"/>
    <n v="1.8289999843333333"/>
    <n v="5.4869999529999998"/>
    <n v="14.491161058517326"/>
  </r>
  <r>
    <n v="1121499"/>
    <s v="Campanha C"/>
    <x v="2"/>
    <x v="0"/>
    <x v="15"/>
    <n v="264222"/>
    <n v="63"/>
    <n v="87.789999600000002"/>
    <n v="10"/>
    <n v="850"/>
    <n v="762.21000040000001"/>
    <n v="2.3843586075345731E-4"/>
    <n v="0.16"/>
    <n v="1.3934920571428571"/>
    <n v="8.7789999600000002"/>
    <n v="8.6821961940184362"/>
  </r>
  <r>
    <n v="1121510"/>
    <s v="Campanha C"/>
    <x v="2"/>
    <x v="0"/>
    <x v="18"/>
    <n v="31202"/>
    <n v="5"/>
    <n v="6.7300000190000002"/>
    <n v="8"/>
    <n v="680"/>
    <n v="673.26999998099996"/>
    <n v="1.6024613806807256E-4"/>
    <n v="1.6"/>
    <n v="1.3460000038"/>
    <n v="0.84125000237500003"/>
    <n v="100.04011858547365"/>
  </r>
  <r>
    <n v="1121511"/>
    <s v="Campanha C"/>
    <x v="2"/>
    <x v="0"/>
    <x v="5"/>
    <n v="252991"/>
    <n v="49"/>
    <n v="76.839999320000004"/>
    <n v="12"/>
    <n v="1020"/>
    <n v="943.16000067999994"/>
    <n v="1.9368277922930064E-4"/>
    <n v="0.24"/>
    <n v="1.5681632514285715"/>
    <n v="6.4033332766666673"/>
    <n v="12.274336400657843"/>
  </r>
  <r>
    <n v="1121514"/>
    <s v="Campanha C"/>
    <x v="2"/>
    <x v="0"/>
    <x v="5"/>
    <n v="56265"/>
    <n v="9"/>
    <n v="15.539999720000001"/>
    <n v="9"/>
    <n v="765"/>
    <n v="749.46000028000003"/>
    <n v="1.5995734470807785E-4"/>
    <n v="1"/>
    <n v="1.7266666355555556"/>
    <n v="1.7266666355555556"/>
    <n v="48.227800114786618"/>
  </r>
  <r>
    <n v="1121523"/>
    <s v="Campanha C"/>
    <x v="2"/>
    <x v="0"/>
    <x v="4"/>
    <n v="76923"/>
    <n v="11"/>
    <n v="17.670000080000001"/>
    <n v="12"/>
    <n v="1020"/>
    <n v="1002.32999992"/>
    <n v="1.4300014300014301E-4"/>
    <n v="1.0900000000000001"/>
    <n v="1.6063636436363637"/>
    <n v="1.4725000066666667"/>
    <n v="56.724957293831544"/>
  </r>
  <r>
    <n v="1121524"/>
    <s v="Campanha C"/>
    <x v="2"/>
    <x v="0"/>
    <x v="4"/>
    <n v="209332"/>
    <n v="30"/>
    <n v="49.600000139999999"/>
    <n v="12"/>
    <n v="1020"/>
    <n v="970.39999985999998"/>
    <n v="1.4331301473257793E-4"/>
    <n v="0.4"/>
    <n v="1.6533333379999999"/>
    <n v="4.1333333449999996"/>
    <n v="19.564516070987253"/>
  </r>
  <r>
    <n v="1121525"/>
    <s v="Campanha C"/>
    <x v="2"/>
    <x v="0"/>
    <x v="4"/>
    <n v="214094"/>
    <n v="31"/>
    <n v="53.269999030000001"/>
    <n v="9"/>
    <n v="765"/>
    <n v="711.73000096999999"/>
    <n v="1.4479621101011705E-4"/>
    <n v="0.28999999999999998"/>
    <n v="1.7183870654838711"/>
    <n v="5.9188887811111108"/>
    <n v="13.360803715599392"/>
  </r>
  <r>
    <n v="1121526"/>
    <s v="Campanha C"/>
    <x v="2"/>
    <x v="0"/>
    <x v="4"/>
    <n v="526209"/>
    <n v="85"/>
    <n v="126.9299996"/>
    <n v="13"/>
    <n v="1105"/>
    <n v="978.07000040000003"/>
    <n v="1.6153277500004752E-4"/>
    <n v="0.15"/>
    <n v="1.4932941129411765"/>
    <n v="9.7638461230769238"/>
    <n v="7.7055857833627535"/>
  </r>
  <r>
    <n v="1121527"/>
    <s v="Campanha C"/>
    <x v="2"/>
    <x v="0"/>
    <x v="4"/>
    <n v="741143"/>
    <n v="120"/>
    <n v="179.620001"/>
    <n v="13"/>
    <n v="1105"/>
    <n v="925.379999"/>
    <n v="1.6191207364840522E-4"/>
    <n v="0.11"/>
    <n v="1.4968333416666666"/>
    <n v="13.816923153846155"/>
    <n v="5.1518761488037184"/>
  </r>
  <r>
    <n v="1121528"/>
    <s v="Campanha C"/>
    <x v="2"/>
    <x v="0"/>
    <x v="4"/>
    <n v="172827"/>
    <n v="25"/>
    <n v="38.420000430000002"/>
    <n v="11"/>
    <n v="935"/>
    <n v="896.57999957000004"/>
    <n v="1.4465332384407529E-4"/>
    <n v="0.44"/>
    <n v="1.5368000172"/>
    <n v="3.4927273118181819"/>
    <n v="23.336282913466903"/>
  </r>
  <r>
    <n v="1121530"/>
    <s v="Campanha C"/>
    <x v="2"/>
    <x v="0"/>
    <x v="8"/>
    <n v="188873"/>
    <n v="38"/>
    <n v="58.5999999"/>
    <n v="11"/>
    <n v="935"/>
    <n v="876.40000009999994"/>
    <n v="2.0119339450318469E-4"/>
    <n v="0.28999999999999998"/>
    <n v="1.5421052605263157"/>
    <n v="5.3272727181818178"/>
    <n v="14.955631426545445"/>
  </r>
  <r>
    <n v="1121532"/>
    <s v="Campanha C"/>
    <x v="2"/>
    <x v="0"/>
    <x v="8"/>
    <n v="123126"/>
    <n v="25"/>
    <n v="39.72999978"/>
    <n v="11"/>
    <n v="935"/>
    <n v="895.27000022000004"/>
    <n v="2.03044036190569E-4"/>
    <n v="0.44"/>
    <n v="1.5891999912000001"/>
    <n v="3.6118181618181819"/>
    <n v="22.533853641516433"/>
  </r>
  <r>
    <n v="1121535"/>
    <s v="Campanha C"/>
    <x v="2"/>
    <x v="0"/>
    <x v="6"/>
    <n v="77794"/>
    <n v="14"/>
    <n v="19.11000001"/>
    <n v="10"/>
    <n v="850"/>
    <n v="830.88999998999998"/>
    <n v="1.7996246497159165E-4"/>
    <n v="0.71"/>
    <n v="1.3650000007142857"/>
    <n v="1.9110000010000001"/>
    <n v="43.479330170340482"/>
  </r>
  <r>
    <n v="1121541"/>
    <s v="Campanha C"/>
    <x v="2"/>
    <x v="0"/>
    <x v="11"/>
    <n v="56630"/>
    <n v="9"/>
    <n v="15.810000179999999"/>
    <n v="9"/>
    <n v="765"/>
    <n v="749.18999982000003"/>
    <n v="1.5892636411795867E-4"/>
    <n v="1"/>
    <n v="1.7566666866666667"/>
    <n v="1.7566666866666667"/>
    <n v="47.387096223296822"/>
  </r>
  <r>
    <n v="1121544"/>
    <s v="Campanha C"/>
    <x v="2"/>
    <x v="0"/>
    <x v="11"/>
    <n v="400844"/>
    <n v="85"/>
    <n v="140.97000220000001"/>
    <n v="14"/>
    <n v="1190"/>
    <n v="1049.0299978"/>
    <n v="2.120525690792428E-4"/>
    <n v="0.16"/>
    <n v="1.6584706141176473"/>
    <n v="10.069285871428573"/>
    <n v="7.4415122467806842"/>
  </r>
  <r>
    <n v="1121545"/>
    <s v="Campanha C"/>
    <x v="2"/>
    <x v="0"/>
    <x v="11"/>
    <n v="208572"/>
    <n v="36"/>
    <n v="60.760000230000003"/>
    <n v="11"/>
    <n v="935"/>
    <n v="874.23999976999994"/>
    <n v="1.7260226684310455E-4"/>
    <n v="0.31"/>
    <n v="1.6877777841666668"/>
    <n v="5.5236363845454548"/>
    <n v="14.388413371637011"/>
  </r>
  <r>
    <n v="1121548"/>
    <s v="Campanha C"/>
    <x v="2"/>
    <x v="0"/>
    <x v="19"/>
    <n v="59004"/>
    <n v="8"/>
    <n v="13.51000011"/>
    <n v="8"/>
    <n v="680"/>
    <n v="666.48999989000004"/>
    <n v="1.3558402820147786E-4"/>
    <n v="1"/>
    <n v="1.68875001375"/>
    <n v="1.68875001375"/>
    <n v="49.333086192698779"/>
  </r>
  <r>
    <n v="1121551"/>
    <s v="Campanha C"/>
    <x v="2"/>
    <x v="0"/>
    <x v="19"/>
    <n v="196253"/>
    <n v="32"/>
    <n v="55.100000020000003"/>
    <n v="8"/>
    <n v="680"/>
    <n v="624.89999997999996"/>
    <n v="1.6305483228281861E-4"/>
    <n v="0.25"/>
    <n v="1.7218750006250001"/>
    <n v="6.8875000025000004"/>
    <n v="11.341197817661996"/>
  </r>
  <r>
    <n v="1121554"/>
    <s v="Campanha C"/>
    <x v="2"/>
    <x v="0"/>
    <x v="13"/>
    <n v="51858"/>
    <n v="8"/>
    <n v="12.630000109999999"/>
    <n v="11"/>
    <n v="935"/>
    <n v="922.36999989000003"/>
    <n v="1.5426742257703731E-4"/>
    <n v="1.38"/>
    <n v="1.5787500137499999"/>
    <n v="1.1481818281818181"/>
    <n v="73.030086449460853"/>
  </r>
  <r>
    <n v="1121557"/>
    <s v="Campanha C"/>
    <x v="2"/>
    <x v="0"/>
    <x v="13"/>
    <n v="280764"/>
    <n v="49"/>
    <n v="81.360000249999999"/>
    <n v="10"/>
    <n v="850"/>
    <n v="768.63999975000002"/>
    <n v="1.7452379934749469E-4"/>
    <n v="0.2"/>
    <n v="1.6604081683673468"/>
    <n v="8.1360000249999995"/>
    <n v="9.4473942648494518"/>
  </r>
  <r>
    <n v="1121561"/>
    <s v="Campanha C"/>
    <x v="2"/>
    <x v="0"/>
    <x v="21"/>
    <n v="63660"/>
    <n v="11"/>
    <n v="16.470000030000001"/>
    <n v="10"/>
    <n v="850"/>
    <n v="833.52999996999995"/>
    <n v="1.7279296261388626E-4"/>
    <n v="0.91"/>
    <n v="1.4972727300000002"/>
    <n v="1.647000003"/>
    <n v="50.608985941210101"/>
  </r>
  <r>
    <n v="1121562"/>
    <s v="Campanha C"/>
    <x v="2"/>
    <x v="0"/>
    <x v="21"/>
    <n v="109289"/>
    <n v="19"/>
    <n v="31.029999969999999"/>
    <n v="9"/>
    <n v="765"/>
    <n v="733.97000003000005"/>
    <n v="1.7385098225804977E-4"/>
    <n v="0.47"/>
    <n v="1.6331578931578947"/>
    <n v="3.4477777744444444"/>
    <n v="23.653561093767546"/>
  </r>
  <r>
    <n v="1121568"/>
    <s v="Campanha C"/>
    <x v="2"/>
    <x v="0"/>
    <x v="14"/>
    <n v="188440"/>
    <n v="40"/>
    <n v="60.729999659999997"/>
    <n v="11"/>
    <n v="935"/>
    <n v="874.27000034000002"/>
    <n v="2.1226915729144556E-4"/>
    <n v="0.28000000000000003"/>
    <n v="1.5182499914999998"/>
    <n v="5.5209090600000001"/>
    <n v="14.39601523521563"/>
  </r>
  <r>
    <n v="1121571"/>
    <s v="Campanha C"/>
    <x v="2"/>
    <x v="0"/>
    <x v="23"/>
    <n v="212496"/>
    <n v="44"/>
    <n v="74.830001350000003"/>
    <n v="11"/>
    <n v="935"/>
    <n v="860.16999865000003"/>
    <n v="2.07062721180634E-4"/>
    <n v="0.25"/>
    <n v="1.7006818488636364"/>
    <n v="6.8027273954545455"/>
    <n v="11.494988415498671"/>
  </r>
  <r>
    <n v="1121572"/>
    <s v="Campanha C"/>
    <x v="2"/>
    <x v="0"/>
    <x v="23"/>
    <n v="32574"/>
    <n v="5"/>
    <n v="7.4800000190000002"/>
    <n v="9"/>
    <n v="765"/>
    <n v="757.51999998099996"/>
    <n v="1.5349665377294776E-4"/>
    <n v="1.8"/>
    <n v="1.4960000038000001"/>
    <n v="0.8311111132222222"/>
    <n v="101.27272701294361"/>
  </r>
  <r>
    <n v="1121575"/>
    <s v="Campanha C"/>
    <x v="2"/>
    <x v="0"/>
    <x v="23"/>
    <n v="128595"/>
    <n v="23"/>
    <n v="36.480000500000003"/>
    <n v="10"/>
    <n v="850"/>
    <n v="813.51999950000004"/>
    <n v="1.7885609860414478E-4"/>
    <n v="0.43"/>
    <n v="1.5860869782608698"/>
    <n v="3.6480000500000003"/>
    <n v="22.300438277132152"/>
  </r>
  <r>
    <n v="1121577"/>
    <s v="Campanha C"/>
    <x v="2"/>
    <x v="0"/>
    <x v="7"/>
    <n v="242234"/>
    <n v="48"/>
    <n v="68.060000540000004"/>
    <n v="10"/>
    <n v="850"/>
    <n v="781.93999945999997"/>
    <n v="1.9815550253061089E-4"/>
    <n v="0.21"/>
    <n v="1.4179166779166668"/>
    <n v="6.8060000540000001"/>
    <n v="11.488980212400097"/>
  </r>
  <r>
    <n v="1121584"/>
    <s v="Campanha C"/>
    <x v="2"/>
    <x v="0"/>
    <x v="24"/>
    <n v="33154"/>
    <n v="5"/>
    <n v="7.8799999950000004"/>
    <n v="10"/>
    <n v="850"/>
    <n v="842.12000000499995"/>
    <n v="1.5081136514447728E-4"/>
    <n v="2"/>
    <n v="1.575999999"/>
    <n v="0.78799999949999999"/>
    <n v="106.8680203730127"/>
  </r>
  <r>
    <n v="1121585"/>
    <s v="Campanha C"/>
    <x v="2"/>
    <x v="0"/>
    <x v="24"/>
    <n v="9773"/>
    <n v="1"/>
    <n v="1.460000038"/>
    <n v="9"/>
    <n v="765"/>
    <n v="763.53999996200002"/>
    <n v="1.0232272587741738E-4"/>
    <n v="9"/>
    <n v="1.460000038"/>
    <n v="0.16222222644444445"/>
    <n v="522.97258910208336"/>
  </r>
  <r>
    <n v="1121589"/>
    <s v="Campanha C"/>
    <x v="3"/>
    <x v="0"/>
    <x v="16"/>
    <n v="464036"/>
    <n v="77"/>
    <n v="123.5500004"/>
    <n v="12"/>
    <n v="1020"/>
    <n v="896.44999959999996"/>
    <n v="1.6593540156367178E-4"/>
    <n v="0.16"/>
    <n v="1.6045454597402597"/>
    <n v="10.295833366666667"/>
    <n v="7.2557668692650195"/>
  </r>
  <r>
    <n v="1121590"/>
    <s v="Campanha C"/>
    <x v="3"/>
    <x v="0"/>
    <x v="16"/>
    <n v="478480"/>
    <n v="75"/>
    <n v="135.75000120000001"/>
    <n v="11"/>
    <n v="935"/>
    <n v="799.24999879999996"/>
    <n v="1.5674636348436715E-4"/>
    <n v="0.15"/>
    <n v="1.8100000160000003"/>
    <n v="12.3409092"/>
    <n v="5.8876610809193854"/>
  </r>
  <r>
    <n v="1121592"/>
    <s v="Campanha C"/>
    <x v="3"/>
    <x v="0"/>
    <x v="16"/>
    <n v="428812"/>
    <n v="66"/>
    <n v="116.8800001"/>
    <n v="14"/>
    <n v="1190"/>
    <n v="1073.1199999"/>
    <n v="1.5391360316409055E-4"/>
    <n v="0.21"/>
    <n v="1.7709090924242425"/>
    <n v="8.3485714357142857"/>
    <n v="9.1813826059365304"/>
  </r>
  <r>
    <n v="1121593"/>
    <s v="Campanha C"/>
    <x v="3"/>
    <x v="0"/>
    <x v="16"/>
    <n v="1177535"/>
    <n v="221"/>
    <n v="365.6600009"/>
    <n v="25"/>
    <n v="2125"/>
    <n v="1759.3399991000001"/>
    <n v="1.8768019634235925E-4"/>
    <n v="0.11"/>
    <n v="1.6545701398190045"/>
    <n v="14.626400036"/>
    <n v="4.8114094917949233"/>
  </r>
  <r>
    <n v="1121594"/>
    <s v="Campanha C"/>
    <x v="3"/>
    <x v="0"/>
    <x v="16"/>
    <n v="426500"/>
    <n v="72"/>
    <n v="128.27999879999999"/>
    <n v="13"/>
    <n v="1105"/>
    <n v="976.72000120000007"/>
    <n v="1.6881594372801875E-4"/>
    <n v="0.18"/>
    <n v="1.7816666499999998"/>
    <n v="9.8676922153846149"/>
    <n v="7.6139695224256592"/>
  </r>
  <r>
    <n v="1121597"/>
    <s v="Campanha C"/>
    <x v="3"/>
    <x v="0"/>
    <x v="0"/>
    <n v="54237"/>
    <n v="7"/>
    <n v="10.779999849999999"/>
    <n v="11"/>
    <n v="935"/>
    <n v="924.22000015000003"/>
    <n v="1.2906318564817376E-4"/>
    <n v="1.57"/>
    <n v="1.5399999785714285"/>
    <n v="0.97999998636363628"/>
    <n v="85.734695084434534"/>
  </r>
  <r>
    <n v="1121598"/>
    <s v="Campanha C"/>
    <x v="3"/>
    <x v="0"/>
    <x v="0"/>
    <n v="506916"/>
    <n v="89"/>
    <n v="133.69999859999999"/>
    <n v="11"/>
    <n v="935"/>
    <n v="801.30000140000004"/>
    <n v="1.7557149508005271E-4"/>
    <n v="0.12"/>
    <n v="1.5022471752808988"/>
    <n v="12.154545327272727"/>
    <n v="5.9932685848210632"/>
  </r>
  <r>
    <n v="1121599"/>
    <s v="Campanha C"/>
    <x v="3"/>
    <x v="0"/>
    <x v="0"/>
    <n v="250960"/>
    <n v="42"/>
    <n v="64.879999519999998"/>
    <n v="10"/>
    <n v="850"/>
    <n v="785.12000048000004"/>
    <n v="1.673573477845075E-4"/>
    <n v="0.24"/>
    <n v="1.5447618933333334"/>
    <n v="6.487999952"/>
    <n v="12.101109837986018"/>
  </r>
  <r>
    <n v="1121601"/>
    <s v="Campanha C"/>
    <x v="3"/>
    <x v="0"/>
    <x v="1"/>
    <n v="2286228"/>
    <n v="353"/>
    <n v="603.38000199999999"/>
    <n v="31"/>
    <n v="2635"/>
    <n v="2031.6199980000001"/>
    <n v="1.5440279797115599E-4"/>
    <n v="0.09"/>
    <n v="1.7092917903682718"/>
    <n v="19.463871032258066"/>
    <n v="3.3670655163675778"/>
  </r>
  <r>
    <n v="1121602"/>
    <s v="Campanha C"/>
    <x v="3"/>
    <x v="0"/>
    <x v="1"/>
    <n v="915451"/>
    <n v="125"/>
    <n v="220.559999"/>
    <n v="15"/>
    <n v="1275"/>
    <n v="1054.4400009999999"/>
    <n v="1.3654471948799007E-4"/>
    <n v="0.12"/>
    <n v="1.7644799920000001"/>
    <n v="14.703999933333334"/>
    <n v="4.7807399609210188"/>
  </r>
  <r>
    <n v="1121603"/>
    <s v="Campanha C"/>
    <x v="3"/>
    <x v="0"/>
    <x v="1"/>
    <n v="159478"/>
    <n v="20"/>
    <n v="33.899999979999997"/>
    <n v="12"/>
    <n v="1020"/>
    <n v="986.10000002000004"/>
    <n v="1.2540914734320721E-4"/>
    <n v="0.6"/>
    <n v="1.6949999989999998"/>
    <n v="2.8249999983333329"/>
    <n v="29.088495592972567"/>
  </r>
  <r>
    <n v="1121605"/>
    <s v="Campanha C"/>
    <x v="3"/>
    <x v="0"/>
    <x v="1"/>
    <n v="1228924"/>
    <n v="190"/>
    <n v="318.97000320000001"/>
    <n v="18"/>
    <n v="1530"/>
    <n v="1211.0299967999999"/>
    <n v="1.5460679423625871E-4"/>
    <n v="0.09"/>
    <n v="1.6787894905263159"/>
    <n v="17.720555733333335"/>
    <n v="3.7966892957036529"/>
  </r>
  <r>
    <n v="1121606"/>
    <s v="Campanha C"/>
    <x v="3"/>
    <x v="0"/>
    <x v="1"/>
    <n v="938283"/>
    <n v="134"/>
    <n v="248.64000010000001"/>
    <n v="17"/>
    <n v="1445"/>
    <n v="1196.3599999"/>
    <n v="1.4281405503456846E-4"/>
    <n v="0.13"/>
    <n v="1.8555223888059702"/>
    <n v="14.62588235882353"/>
    <n v="4.8116151842778256"/>
  </r>
  <r>
    <n v="1121607"/>
    <s v="Campanha C"/>
    <x v="3"/>
    <x v="0"/>
    <x v="12"/>
    <n v="154572"/>
    <n v="26"/>
    <n v="40.930000069999998"/>
    <n v="10"/>
    <n v="850"/>
    <n v="809.06999992999999"/>
    <n v="1.6820640219444659E-4"/>
    <n v="0.38"/>
    <n v="1.5742307719230768"/>
    <n v="4.0930000069999997"/>
    <n v="19.767163414275558"/>
  </r>
  <r>
    <n v="1121609"/>
    <s v="Campanha C"/>
    <x v="3"/>
    <x v="0"/>
    <x v="12"/>
    <n v="378171"/>
    <n v="70"/>
    <n v="109.2500008"/>
    <n v="9"/>
    <n v="765"/>
    <n v="655.74999920000005"/>
    <n v="1.8510144881548295E-4"/>
    <n v="0.13"/>
    <n v="1.5607142971428571"/>
    <n v="12.138888977777777"/>
    <n v="6.002288278244114"/>
  </r>
  <r>
    <n v="1121612"/>
    <s v="Campanha C"/>
    <x v="3"/>
    <x v="0"/>
    <x v="12"/>
    <n v="468749"/>
    <n v="84"/>
    <n v="134.11999750000001"/>
    <n v="16"/>
    <n v="1360"/>
    <n v="1225.8800025"/>
    <n v="1.7920038229414888E-4"/>
    <n v="0.19"/>
    <n v="1.596666636904762"/>
    <n v="8.3824998437500007"/>
    <n v="9.1401731684344831"/>
  </r>
  <r>
    <n v="1121613"/>
    <s v="Campanha C"/>
    <x v="3"/>
    <x v="0"/>
    <x v="17"/>
    <n v="309823"/>
    <n v="60"/>
    <n v="103.3899996"/>
    <n v="15"/>
    <n v="1275"/>
    <n v="1171.6100004"/>
    <n v="1.9365896011593717E-4"/>
    <n v="0.25"/>
    <n v="1.72316666"/>
    <n v="6.8926666399999998"/>
    <n v="11.331947044518607"/>
  </r>
  <r>
    <n v="1121615"/>
    <s v="Campanha C"/>
    <x v="3"/>
    <x v="0"/>
    <x v="17"/>
    <n v="327227"/>
    <n v="65"/>
    <n v="116.5599996"/>
    <n v="13"/>
    <n v="1105"/>
    <n v="988.44000040000003"/>
    <n v="1.9863886537480098E-4"/>
    <n v="0.2"/>
    <n v="1.7932307630769231"/>
    <n v="8.9661538153846152"/>
    <n v="8.4800961203846814"/>
  </r>
  <r>
    <n v="1121616"/>
    <s v="Campanha C"/>
    <x v="3"/>
    <x v="0"/>
    <x v="17"/>
    <n v="334945"/>
    <n v="72"/>
    <n v="120.2999994"/>
    <n v="10"/>
    <n v="850"/>
    <n v="729.70000059999995"/>
    <n v="2.1496066518383614E-4"/>
    <n v="0.14000000000000001"/>
    <n v="1.670833325"/>
    <n v="12.02999994"/>
    <n v="6.0656691956724975"/>
  </r>
  <r>
    <n v="1121617"/>
    <s v="Campanha C"/>
    <x v="3"/>
    <x v="0"/>
    <x v="17"/>
    <n v="68859"/>
    <n v="15"/>
    <n v="25.459999679999999"/>
    <n v="9"/>
    <n v="765"/>
    <n v="739.54000031999999"/>
    <n v="2.1783644839454538E-4"/>
    <n v="0.6"/>
    <n v="1.697333312"/>
    <n v="2.8288888533333334"/>
    <n v="29.047133134920763"/>
  </r>
  <r>
    <n v="1121619"/>
    <s v="Campanha C"/>
    <x v="3"/>
    <x v="0"/>
    <x v="2"/>
    <n v="127125"/>
    <n v="20"/>
    <n v="35.67999983"/>
    <n v="10"/>
    <n v="850"/>
    <n v="814.32000016999996"/>
    <n v="1.5732546705998033E-4"/>
    <n v="0.5"/>
    <n v="1.7839999915"/>
    <n v="3.567999983"/>
    <n v="22.822870068662777"/>
  </r>
  <r>
    <n v="1121620"/>
    <s v="Campanha C"/>
    <x v="3"/>
    <x v="0"/>
    <x v="2"/>
    <n v="415798"/>
    <n v="80"/>
    <n v="131.78000059999999"/>
    <n v="12"/>
    <n v="1020"/>
    <n v="888.21999940000001"/>
    <n v="1.9240111785049472E-4"/>
    <n v="0.15"/>
    <n v="1.6472500074999998"/>
    <n v="10.981666716666666"/>
    <n v="6.7401729803907742"/>
  </r>
  <r>
    <n v="1121622"/>
    <s v="Campanha C"/>
    <x v="3"/>
    <x v="0"/>
    <x v="2"/>
    <n v="107671"/>
    <n v="20"/>
    <n v="29.91000021"/>
    <n v="10"/>
    <n v="850"/>
    <n v="820.08999978999998"/>
    <n v="1.8575103788392416E-4"/>
    <n v="0.5"/>
    <n v="1.4955000105"/>
    <n v="2.9910000210000001"/>
    <n v="27.418588901106531"/>
  </r>
  <r>
    <n v="1121623"/>
    <s v="Campanha C"/>
    <x v="3"/>
    <x v="0"/>
    <x v="2"/>
    <n v="164356"/>
    <n v="28"/>
    <n v="46.790000200000001"/>
    <n v="10"/>
    <n v="850"/>
    <n v="803.20999979999999"/>
    <n v="1.7036189734478813E-4"/>
    <n v="0.36"/>
    <n v="1.6710714357142857"/>
    <n v="4.6790000200000001"/>
    <n v="17.166274767402115"/>
  </r>
  <r>
    <n v="1121624"/>
    <s v="Campanha C"/>
    <x v="3"/>
    <x v="0"/>
    <x v="2"/>
    <n v="17662"/>
    <n v="2"/>
    <n v="3.1899999380000001"/>
    <n v="9"/>
    <n v="765"/>
    <n v="761.81000006199997"/>
    <n v="1.1323745895142112E-4"/>
    <n v="4.5"/>
    <n v="1.5949999690000001"/>
    <n v="0.35444443755555555"/>
    <n v="238.81191688662659"/>
  </r>
  <r>
    <n v="1121627"/>
    <s v="Campanha C"/>
    <x v="3"/>
    <x v="0"/>
    <x v="10"/>
    <n v="65339"/>
    <n v="10"/>
    <n v="16.67999983"/>
    <n v="10"/>
    <n v="850"/>
    <n v="833.32000016999996"/>
    <n v="1.5304794992271079E-4"/>
    <n v="1"/>
    <n v="1.6679999830000001"/>
    <n v="1.6679999830000001"/>
    <n v="49.959233133277557"/>
  </r>
  <r>
    <n v="1121628"/>
    <s v="Campanha C"/>
    <x v="3"/>
    <x v="0"/>
    <x v="10"/>
    <n v="59838"/>
    <n v="7"/>
    <n v="11.11000013"/>
    <n v="9"/>
    <n v="765"/>
    <n v="753.88999987"/>
    <n v="1.1698251946923359E-4"/>
    <n v="1.29"/>
    <n v="1.5871428757142856"/>
    <n v="1.2344444588888888"/>
    <n v="67.85688488286273"/>
  </r>
  <r>
    <n v="1121629"/>
    <s v="Campanha C"/>
    <x v="3"/>
    <x v="0"/>
    <x v="10"/>
    <n v="381577"/>
    <n v="81"/>
    <n v="127.56999930000001"/>
    <n v="9"/>
    <n v="765"/>
    <n v="637.43000069999994"/>
    <n v="2.1227694541337658E-4"/>
    <n v="0.11"/>
    <n v="1.5749382629629631"/>
    <n v="14.174444366666668"/>
    <n v="4.9967077228007781"/>
  </r>
  <r>
    <n v="1121635"/>
    <s v="Campanha C"/>
    <x v="3"/>
    <x v="0"/>
    <x v="22"/>
    <n v="45491"/>
    <n v="8"/>
    <n v="11.009999990000001"/>
    <n v="9"/>
    <n v="765"/>
    <n v="753.99000001000002"/>
    <n v="1.7585896111318723E-4"/>
    <n v="1.1299999999999999"/>
    <n v="1.3762499987500001"/>
    <n v="1.2233333322222224"/>
    <n v="68.482288891446217"/>
  </r>
  <r>
    <n v="1121638"/>
    <s v="Campanha C"/>
    <x v="3"/>
    <x v="0"/>
    <x v="20"/>
    <n v="18946"/>
    <n v="2"/>
    <n v="3.5999999049999998"/>
    <n v="8"/>
    <n v="680"/>
    <n v="676.400000095"/>
    <n v="1.0556317956296844E-4"/>
    <n v="4"/>
    <n v="1.7999999524999999"/>
    <n v="0.44999998812499997"/>
    <n v="187.88889387345694"/>
  </r>
  <r>
    <n v="1121641"/>
    <s v="Campanha C"/>
    <x v="3"/>
    <x v="0"/>
    <x v="20"/>
    <n v="114370"/>
    <n v="18"/>
    <n v="33.659999970000001"/>
    <n v="9"/>
    <n v="765"/>
    <n v="731.34000003000006"/>
    <n v="1.5738392935210282E-4"/>
    <n v="0.5"/>
    <n v="1.8699999983333333"/>
    <n v="3.7399999966666666"/>
    <n v="21.727272747528765"/>
  </r>
  <r>
    <n v="1121642"/>
    <s v="Campanha C"/>
    <x v="3"/>
    <x v="0"/>
    <x v="20"/>
    <n v="99698"/>
    <n v="21"/>
    <n v="33.3499999"/>
    <n v="9"/>
    <n v="765"/>
    <n v="731.65000009999994"/>
    <n v="2.1063612108567875E-4"/>
    <n v="0.43"/>
    <n v="1.5880952333333334"/>
    <n v="3.7055555444444446"/>
    <n v="21.938530803413883"/>
  </r>
  <r>
    <n v="1121644"/>
    <s v="Campanha C"/>
    <x v="3"/>
    <x v="0"/>
    <x v="9"/>
    <n v="355165"/>
    <n v="81"/>
    <n v="128.6099997"/>
    <n v="15"/>
    <n v="1275"/>
    <n v="1146.3900002999999"/>
    <n v="2.2806301296580462E-4"/>
    <n v="0.19"/>
    <n v="1.5877777740740742"/>
    <n v="8.57399998"/>
    <n v="8.9136925820240069"/>
  </r>
  <r>
    <n v="1121650"/>
    <s v="Campanha C"/>
    <x v="3"/>
    <x v="0"/>
    <x v="15"/>
    <n v="101431"/>
    <n v="23"/>
    <n v="33.930000309999997"/>
    <n v="10"/>
    <n v="850"/>
    <n v="816.06999969000003"/>
    <n v="2.2675513403200206E-4"/>
    <n v="0.43"/>
    <n v="1.4752174047826085"/>
    <n v="3.3930000309999997"/>
    <n v="24.051576546832049"/>
  </r>
  <r>
    <n v="1121652"/>
    <s v="Campanha C"/>
    <x v="3"/>
    <x v="0"/>
    <x v="15"/>
    <n v="123151"/>
    <n v="24"/>
    <n v="36.440000300000001"/>
    <n v="11"/>
    <n v="935"/>
    <n v="898.55999970000005"/>
    <n v="1.9488270497194501E-4"/>
    <n v="0.46"/>
    <n v="1.5183333458333335"/>
    <n v="3.3127273000000002"/>
    <n v="24.658616693260566"/>
  </r>
  <r>
    <n v="1121660"/>
    <s v="Campanha C"/>
    <x v="3"/>
    <x v="0"/>
    <x v="18"/>
    <n v="24078"/>
    <n v="4"/>
    <n v="5.7699999809999998"/>
    <n v="9"/>
    <n v="765"/>
    <n v="759.23000001900004"/>
    <n v="1.6612675471384668E-4"/>
    <n v="2.25"/>
    <n v="1.4424999952499999"/>
    <n v="0.64111110900000001"/>
    <n v="131.58232279359865"/>
  </r>
  <r>
    <n v="1121661"/>
    <s v="Campanha C"/>
    <x v="3"/>
    <x v="0"/>
    <x v="5"/>
    <n v="517801"/>
    <n v="105"/>
    <n v="181.72000109999999"/>
    <n v="11"/>
    <n v="935"/>
    <n v="753.27999890000001"/>
    <n v="2.0278060490420066E-4"/>
    <n v="0.1"/>
    <n v="1.7306666771428572"/>
    <n v="16.520000100000001"/>
    <n v="4.1452784192174432"/>
  </r>
  <r>
    <n v="1121662"/>
    <s v="Campanha C"/>
    <x v="3"/>
    <x v="0"/>
    <x v="5"/>
    <n v="145104"/>
    <n v="25"/>
    <n v="41.420000080000001"/>
    <n v="11"/>
    <n v="935"/>
    <n v="893.57999991999998"/>
    <n v="1.7229021942882346E-4"/>
    <n v="0.44"/>
    <n v="1.6568000032000001"/>
    <n v="3.7654545527272729"/>
    <n v="21.57363588107458"/>
  </r>
  <r>
    <n v="1121664"/>
    <s v="Campanha C"/>
    <x v="3"/>
    <x v="0"/>
    <x v="5"/>
    <n v="179950"/>
    <n v="35"/>
    <n v="58.679999709999997"/>
    <n v="9"/>
    <n v="765"/>
    <n v="706.32000029000005"/>
    <n v="1.9449847179772158E-4"/>
    <n v="0.26"/>
    <n v="1.6765714202857143"/>
    <n v="6.5199999677777773"/>
    <n v="12.0368098803796"/>
  </r>
  <r>
    <n v="1121665"/>
    <s v="Campanha C"/>
    <x v="3"/>
    <x v="0"/>
    <x v="5"/>
    <n v="258531"/>
    <n v="46"/>
    <n v="80.339999789999993"/>
    <n v="10"/>
    <n v="850"/>
    <n v="769.66000021000002"/>
    <n v="1.7792837222615471E-4"/>
    <n v="0.22"/>
    <n v="1.7465217345652173"/>
    <n v="8.033999978999999"/>
    <n v="9.5800348795345709"/>
  </r>
  <r>
    <n v="1121666"/>
    <s v="Campanha C"/>
    <x v="3"/>
    <x v="0"/>
    <x v="5"/>
    <n v="272500"/>
    <n v="62"/>
    <n v="104.4599996"/>
    <n v="10"/>
    <n v="850"/>
    <n v="745.54000040000005"/>
    <n v="2.275229357798165E-4"/>
    <n v="0.16"/>
    <n v="1.6848387032258065"/>
    <n v="10.44599996"/>
    <n v="7.1370859970786373"/>
  </r>
  <r>
    <n v="1121667"/>
    <s v="Campanha C"/>
    <x v="3"/>
    <x v="0"/>
    <x v="3"/>
    <n v="273197"/>
    <n v="57"/>
    <n v="87.730000500000003"/>
    <n v="11"/>
    <n v="935"/>
    <n v="847.26999950000004"/>
    <n v="2.086406512516609E-4"/>
    <n v="0.19"/>
    <n v="1.5391228157894736"/>
    <n v="7.9754545909090915"/>
    <n v="9.6576996998877256"/>
  </r>
  <r>
    <n v="1121668"/>
    <s v="Campanha C"/>
    <x v="3"/>
    <x v="0"/>
    <x v="3"/>
    <n v="775904"/>
    <n v="172"/>
    <n v="253.990002"/>
    <n v="14"/>
    <n v="1190"/>
    <n v="936.009998"/>
    <n v="2.2167690848352373E-4"/>
    <n v="0.08"/>
    <n v="1.4766860581395349"/>
    <n v="18.142143000000001"/>
    <n v="3.685223790816774"/>
  </r>
  <r>
    <n v="1121669"/>
    <s v="Campanha C"/>
    <x v="3"/>
    <x v="0"/>
    <x v="3"/>
    <n v="120251"/>
    <n v="26"/>
    <n v="39.440000060000003"/>
    <n v="9"/>
    <n v="765"/>
    <n v="725.55999994000001"/>
    <n v="2.1621441817531664E-4"/>
    <n v="0.35"/>
    <n v="1.5169230792307693"/>
    <n v="4.3822222288888888"/>
    <n v="18.396551694629991"/>
  </r>
  <r>
    <n v="1121671"/>
    <s v="Campanha C"/>
    <x v="3"/>
    <x v="0"/>
    <x v="3"/>
    <n v="139406"/>
    <n v="24"/>
    <n v="39.049999479999997"/>
    <n v="9"/>
    <n v="765"/>
    <n v="725.95000052"/>
    <n v="1.7215901754587322E-4"/>
    <n v="0.38"/>
    <n v="1.6270833116666665"/>
    <n v="4.3388888311111105"/>
    <n v="18.590269146912675"/>
  </r>
  <r>
    <n v="1121672"/>
    <s v="Campanha C"/>
    <x v="3"/>
    <x v="0"/>
    <x v="3"/>
    <n v="60314"/>
    <n v="11"/>
    <n v="16.939999579999999"/>
    <n v="11"/>
    <n v="935"/>
    <n v="918.06000042000005"/>
    <n v="1.8237888384123088E-4"/>
    <n v="1"/>
    <n v="1.5399999618181817"/>
    <n v="1.5399999618181817"/>
    <n v="54.194806563271484"/>
  </r>
  <r>
    <n v="1121673"/>
    <s v="Campanha C"/>
    <x v="3"/>
    <x v="0"/>
    <x v="4"/>
    <n v="563074"/>
    <n v="86"/>
    <n v="142.70999850000001"/>
    <n v="14"/>
    <n v="1190"/>
    <n v="1047.2900015"/>
    <n v="1.5273303331356092E-4"/>
    <n v="0.16"/>
    <n v="1.6594185872093024"/>
    <n v="10.193571321428573"/>
    <n v="7.3385888340542582"/>
  </r>
  <r>
    <n v="1121674"/>
    <s v="Campanha C"/>
    <x v="3"/>
    <x v="0"/>
    <x v="4"/>
    <n v="168655"/>
    <n v="18"/>
    <n v="27.299999830000001"/>
    <n v="10"/>
    <n v="850"/>
    <n v="822.70000016999995"/>
    <n v="1.0672674987400314E-4"/>
    <n v="0.56000000000000005"/>
    <n v="1.5166666572222223"/>
    <n v="2.7299999829999999"/>
    <n v="30.135531329415393"/>
  </r>
  <r>
    <n v="1121675"/>
    <s v="Campanha C"/>
    <x v="3"/>
    <x v="0"/>
    <x v="4"/>
    <n v="111963"/>
    <n v="17"/>
    <n v="29.379999399999999"/>
    <n v="12"/>
    <n v="1020"/>
    <n v="990.62000060000003"/>
    <n v="1.5183587435134823E-4"/>
    <n v="0.71"/>
    <n v="1.7282352588235295"/>
    <n v="2.4483332833333331"/>
    <n v="33.717495603488679"/>
  </r>
  <r>
    <n v="1121676"/>
    <s v="Campanha C"/>
    <x v="3"/>
    <x v="0"/>
    <x v="4"/>
    <n v="1026304"/>
    <n v="168"/>
    <n v="277.57999860000001"/>
    <n v="33"/>
    <n v="2805"/>
    <n v="2527.4200013999998"/>
    <n v="1.6369418807682715E-4"/>
    <n v="0.2"/>
    <n v="1.6522618964285716"/>
    <n v="8.4115151090909102"/>
    <n v="9.1051949497343916"/>
  </r>
  <r>
    <n v="1121677"/>
    <s v="Campanha C"/>
    <x v="3"/>
    <x v="0"/>
    <x v="4"/>
    <n v="1391924"/>
    <n v="258"/>
    <n v="422.84000379999998"/>
    <n v="36"/>
    <n v="3060"/>
    <n v="2637.1599962"/>
    <n v="1.8535494754023927E-4"/>
    <n v="0.14000000000000001"/>
    <n v="1.6389147434108526"/>
    <n v="11.74555566111111"/>
    <n v="6.2367798044183074"/>
  </r>
  <r>
    <n v="1121678"/>
    <s v="Campanha C"/>
    <x v="3"/>
    <x v="0"/>
    <x v="4"/>
    <n v="147551"/>
    <n v="22"/>
    <n v="38.500000829999998"/>
    <n v="9"/>
    <n v="765"/>
    <n v="726.49999917000002"/>
    <n v="1.4910098881064853E-4"/>
    <n v="0.41"/>
    <n v="1.7500000377272726"/>
    <n v="4.2777778699999995"/>
    <n v="18.870129441760849"/>
  </r>
  <r>
    <n v="1121685"/>
    <s v="Campanha C"/>
    <x v="3"/>
    <x v="0"/>
    <x v="6"/>
    <n v="66794"/>
    <n v="9"/>
    <n v="17.3299998"/>
    <n v="10"/>
    <n v="850"/>
    <n v="832.6700002"/>
    <n v="1.3474264155463066E-4"/>
    <n v="1.1100000000000001"/>
    <n v="1.9255555333333332"/>
    <n v="1.73299998"/>
    <n v="48.047894391781817"/>
  </r>
  <r>
    <n v="1121687"/>
    <s v="Campanha C"/>
    <x v="3"/>
    <x v="0"/>
    <x v="6"/>
    <n v="118882"/>
    <n v="19"/>
    <n v="32.309999939999997"/>
    <n v="11"/>
    <n v="935"/>
    <n v="902.69000005999999"/>
    <n v="1.5982234484614996E-4"/>
    <n v="0.57999999999999996"/>
    <n v="1.7005263126315788"/>
    <n v="2.9372727218181818"/>
    <n v="27.93840921498931"/>
  </r>
  <r>
    <n v="1121689"/>
    <s v="Campanha C"/>
    <x v="3"/>
    <x v="0"/>
    <x v="6"/>
    <n v="148010"/>
    <n v="24"/>
    <n v="41.969999430000001"/>
    <n v="10"/>
    <n v="850"/>
    <n v="808.03000056999997"/>
    <n v="1.6215120599959463E-4"/>
    <n v="0.42"/>
    <n v="1.7487499762500001"/>
    <n v="4.1969999429999998"/>
    <n v="19.252561628400287"/>
  </r>
  <r>
    <n v="1121691"/>
    <s v="Campanha C"/>
    <x v="3"/>
    <x v="0"/>
    <x v="11"/>
    <n v="932890"/>
    <n v="197"/>
    <n v="352.44999890000003"/>
    <n v="12"/>
    <n v="1020"/>
    <n v="667.55000109999992"/>
    <n v="2.1117173514562275E-4"/>
    <n v="0.06"/>
    <n v="1.7890862888324874"/>
    <n v="29.37083324166667"/>
    <n v="1.894027530666563"/>
  </r>
  <r>
    <n v="1121692"/>
    <s v="Campanha C"/>
    <x v="3"/>
    <x v="0"/>
    <x v="11"/>
    <n v="718359"/>
    <n v="147"/>
    <n v="264.58999970000002"/>
    <n v="13"/>
    <n v="1105"/>
    <n v="840.41000029999998"/>
    <n v="2.0463305951481085E-4"/>
    <n v="0.09"/>
    <n v="1.7999319707482995"/>
    <n v="20.353076900000001"/>
    <n v="3.1762727285720613"/>
  </r>
  <r>
    <n v="1121693"/>
    <s v="Campanha C"/>
    <x v="3"/>
    <x v="0"/>
    <x v="11"/>
    <n v="433658"/>
    <n v="82"/>
    <n v="158.59999980000001"/>
    <n v="15"/>
    <n v="1275"/>
    <n v="1116.4000002"/>
    <n v="1.8908909786052603E-4"/>
    <n v="0.18"/>
    <n v="1.9341463390243903"/>
    <n v="10.57333332"/>
    <n v="7.0390920656230671"/>
  </r>
  <r>
    <n v="1121695"/>
    <s v="Campanha C"/>
    <x v="3"/>
    <x v="0"/>
    <x v="11"/>
    <n v="29455"/>
    <n v="3"/>
    <n v="4.7699999809999998"/>
    <n v="10"/>
    <n v="850"/>
    <n v="845.23000001900004"/>
    <n v="1.0185028008827024E-4"/>
    <n v="3.33"/>
    <n v="1.5899999936666667"/>
    <n v="0.47699999809999999"/>
    <n v="177.19706569931748"/>
  </r>
  <r>
    <n v="1121701"/>
    <s v="Campanha C"/>
    <x v="3"/>
    <x v="0"/>
    <x v="19"/>
    <n v="23973"/>
    <n v="3"/>
    <n v="4.8200000520000001"/>
    <n v="10"/>
    <n v="850"/>
    <n v="845.17999994800005"/>
    <n v="1.2514078338130396E-4"/>
    <n v="3.33"/>
    <n v="1.6066666840000001"/>
    <n v="0.48200000520000003"/>
    <n v="175.3485458153269"/>
  </r>
  <r>
    <n v="1121705"/>
    <s v="Campanha C"/>
    <x v="3"/>
    <x v="0"/>
    <x v="13"/>
    <n v="126480"/>
    <n v="25"/>
    <n v="37.259999989999997"/>
    <n v="10"/>
    <n v="850"/>
    <n v="812.74000001000002"/>
    <n v="1.9765970904490828E-4"/>
    <n v="0.4"/>
    <n v="1.4903999995999999"/>
    <n v="3.7259999989999999"/>
    <n v="21.812667746326536"/>
  </r>
  <r>
    <n v="1121706"/>
    <s v="Campanha C"/>
    <x v="3"/>
    <x v="0"/>
    <x v="13"/>
    <n v="138959"/>
    <n v="28"/>
    <n v="39.520000699999997"/>
    <n v="8"/>
    <n v="680"/>
    <n v="640.47999930000003"/>
    <n v="2.0149828366640519E-4"/>
    <n v="0.28999999999999998"/>
    <n v="1.4114285964285713"/>
    <n v="4.9400000874999996"/>
    <n v="16.206477428022922"/>
  </r>
  <r>
    <n v="1121708"/>
    <s v="Campanha C"/>
    <x v="3"/>
    <x v="0"/>
    <x v="13"/>
    <n v="68829"/>
    <n v="12"/>
    <n v="19.47999978"/>
    <n v="8"/>
    <n v="680"/>
    <n v="660.52000022000004"/>
    <n v="1.7434511615743365E-4"/>
    <n v="0.67"/>
    <n v="1.623333315"/>
    <n v="2.4349999725"/>
    <n v="33.907597930167945"/>
  </r>
  <r>
    <n v="1121711"/>
    <s v="Campanha C"/>
    <x v="3"/>
    <x v="0"/>
    <x v="21"/>
    <n v="49916"/>
    <n v="10"/>
    <n v="16.38"/>
    <n v="11"/>
    <n v="935"/>
    <n v="918.62"/>
    <n v="2.0033656542992227E-4"/>
    <n v="1.1000000000000001"/>
    <n v="1.6379999999999999"/>
    <n v="1.489090909090909"/>
    <n v="56.081807081807085"/>
  </r>
  <r>
    <n v="1121716"/>
    <s v="Campanha C"/>
    <x v="3"/>
    <x v="0"/>
    <x v="14"/>
    <n v="76014"/>
    <n v="16"/>
    <n v="22.670000309999999"/>
    <n v="9"/>
    <n v="765"/>
    <n v="742.32999969000002"/>
    <n v="2.1048754176862156E-4"/>
    <n v="0.56000000000000005"/>
    <n v="1.4168750193749999"/>
    <n v="2.5188889233333334"/>
    <n v="32.745037033040958"/>
  </r>
  <r>
    <n v="1121723"/>
    <s v="Campanha C"/>
    <x v="3"/>
    <x v="0"/>
    <x v="23"/>
    <n v="50947"/>
    <n v="10"/>
    <n v="15.99000025"/>
    <n v="9"/>
    <n v="765"/>
    <n v="749.00999975000002"/>
    <n v="1.9628241113313835E-4"/>
    <n v="0.9"/>
    <n v="1.599000025"/>
    <n v="1.7766666944444445"/>
    <n v="46.842400752933074"/>
  </r>
  <r>
    <n v="1121733"/>
    <s v="Campanha C"/>
    <x v="3"/>
    <x v="0"/>
    <x v="24"/>
    <n v="55536"/>
    <n v="11"/>
    <n v="17.04999995"/>
    <n v="9"/>
    <n v="765"/>
    <n v="747.95000004999997"/>
    <n v="1.9806972054163066E-4"/>
    <n v="0.82"/>
    <n v="1.5499999954545454"/>
    <n v="1.8944444388888888"/>
    <n v="43.868035322193649"/>
  </r>
  <r>
    <n v="1121741"/>
    <s v="Campanha C"/>
    <x v="0"/>
    <x v="1"/>
    <x v="16"/>
    <n v="318042"/>
    <n v="46"/>
    <n v="64.409999970000001"/>
    <n v="9"/>
    <n v="765"/>
    <n v="700.59000003000006"/>
    <n v="1.4463498531640476E-4"/>
    <n v="0.2"/>
    <n v="1.400217390652174"/>
    <n v="7.1566666633333336"/>
    <n v="10.877037732592939"/>
  </r>
  <r>
    <n v="1121742"/>
    <s v="Campanha C"/>
    <x v="0"/>
    <x v="1"/>
    <x v="16"/>
    <n v="213016"/>
    <n v="30"/>
    <n v="44.219999549999997"/>
    <n v="13"/>
    <n v="1105"/>
    <n v="1060.78000045"/>
    <n v="1.408344913058174E-4"/>
    <n v="0.43"/>
    <n v="1.4739999849999998"/>
    <n v="3.4015384269230768"/>
    <n v="23.988693153435367"/>
  </r>
  <r>
    <n v="1121745"/>
    <s v="Campanha C"/>
    <x v="0"/>
    <x v="1"/>
    <x v="0"/>
    <n v="182265"/>
    <n v="27"/>
    <n v="38.180000069999998"/>
    <n v="1"/>
    <n v="85"/>
    <n v="46.819999930000002"/>
    <n v="1.4813595588840424E-4"/>
    <n v="0.04"/>
    <n v="1.4140740766666666"/>
    <n v="38.180000069999998"/>
    <n v="1.2262964862273245"/>
  </r>
  <r>
    <n v="1121746"/>
    <s v="Campanha C"/>
    <x v="0"/>
    <x v="1"/>
    <x v="0"/>
    <n v="1117371"/>
    <n v="177"/>
    <n v="268.05000200000001"/>
    <n v="31"/>
    <n v="2635"/>
    <n v="2366.9499980000001"/>
    <n v="1.5840754771691767E-4"/>
    <n v="0.18"/>
    <n v="1.5144067909604519"/>
    <n v="8.6467742580645162"/>
    <n v="8.8302554759913789"/>
  </r>
  <r>
    <n v="1121749"/>
    <s v="Campanha C"/>
    <x v="0"/>
    <x v="1"/>
    <x v="0"/>
    <n v="333345"/>
    <n v="52"/>
    <n v="77.590000270000004"/>
    <n v="7"/>
    <n v="595"/>
    <n v="517.40999972999998"/>
    <n v="1.5599454019109331E-4"/>
    <n v="0.13"/>
    <n v="1.4921153898076924"/>
    <n v="11.084285752857143"/>
    <n v="6.6685139570756693"/>
  </r>
  <r>
    <n v="1121751"/>
    <s v="Campanha C"/>
    <x v="0"/>
    <x v="1"/>
    <x v="1"/>
    <n v="275930"/>
    <n v="30"/>
    <n v="46.779999969999999"/>
    <n v="5"/>
    <n v="425"/>
    <n v="378.22000002999999"/>
    <n v="1.0872322690537456E-4"/>
    <n v="0.17"/>
    <n v="1.5593333323333334"/>
    <n v="9.3559999939999994"/>
    <n v="8.0850790994560153"/>
  </r>
  <r>
    <n v="1121753"/>
    <s v="Campanha C"/>
    <x v="0"/>
    <x v="1"/>
    <x v="1"/>
    <n v="740631"/>
    <n v="101"/>
    <n v="153.11999750000001"/>
    <n v="14"/>
    <n v="1190"/>
    <n v="1036.8800025"/>
    <n v="1.3637020324561085E-4"/>
    <n v="0.14000000000000001"/>
    <n v="1.5160395792079209"/>
    <n v="10.93714267857143"/>
    <n v="6.7716824675366123"/>
  </r>
  <r>
    <n v="1121754"/>
    <s v="Campanha C"/>
    <x v="0"/>
    <x v="1"/>
    <x v="1"/>
    <n v="328272"/>
    <n v="35"/>
    <n v="55.990000250000001"/>
    <n v="3"/>
    <n v="255"/>
    <n v="199.00999974999999"/>
    <n v="1.0661890139883998E-4"/>
    <n v="0.09"/>
    <n v="1.5997142928571428"/>
    <n v="18.663333416666667"/>
    <n v="3.5543846912199286"/>
  </r>
  <r>
    <n v="1121755"/>
    <s v="Campanha C"/>
    <x v="0"/>
    <x v="1"/>
    <x v="1"/>
    <n v="178455"/>
    <n v="20"/>
    <n v="31.540000200000001"/>
    <n v="10"/>
    <n v="850"/>
    <n v="818.45999979999999"/>
    <n v="1.1207307164271105E-4"/>
    <n v="0.5"/>
    <n v="1.5770000100000001"/>
    <n v="3.1540000200000002"/>
    <n v="25.949904711795149"/>
  </r>
  <r>
    <n v="1121756"/>
    <s v="Campanha C"/>
    <x v="0"/>
    <x v="1"/>
    <x v="1"/>
    <n v="705712"/>
    <n v="98"/>
    <n v="147.33999900000001"/>
    <n v="6"/>
    <n v="510"/>
    <n v="362.66000099999997"/>
    <n v="1.3886684653229646E-4"/>
    <n v="0.06"/>
    <n v="1.5034693775510204"/>
    <n v="24.556666500000002"/>
    <n v="2.4613818614183645"/>
  </r>
  <r>
    <n v="1121758"/>
    <s v="Campanha C"/>
    <x v="0"/>
    <x v="1"/>
    <x v="12"/>
    <n v="690373"/>
    <n v="91"/>
    <n v="159.57000210000001"/>
    <n v="6"/>
    <n v="510"/>
    <n v="350.42999789999999"/>
    <n v="1.3181280264436761E-4"/>
    <n v="7.0000000000000007E-2"/>
    <n v="1.7535165065934066"/>
    <n v="26.595000350000003"/>
    <n v="2.196089448444019"/>
  </r>
  <r>
    <n v="1121759"/>
    <s v="Campanha C"/>
    <x v="0"/>
    <x v="1"/>
    <x v="12"/>
    <n v="515812"/>
    <n v="69"/>
    <n v="117.6299995"/>
    <n v="2"/>
    <n v="170"/>
    <n v="52.370000500000003"/>
    <n v="1.3376966801858042E-4"/>
    <n v="0.03"/>
    <n v="1.7047826014492753"/>
    <n v="58.814999749999998"/>
    <n v="0.44520956152856234"/>
  </r>
  <r>
    <n v="1121760"/>
    <s v="Campanha C"/>
    <x v="0"/>
    <x v="1"/>
    <x v="12"/>
    <n v="764793"/>
    <n v="101"/>
    <n v="171.97999759999999"/>
    <n v="4"/>
    <n v="340"/>
    <n v="168.02000240000001"/>
    <n v="1.3206187818141642E-4"/>
    <n v="0.04"/>
    <n v="1.7027722534653464"/>
    <n v="42.994999399999998"/>
    <n v="0.97697409434084104"/>
  </r>
  <r>
    <n v="1121763"/>
    <s v="Campanha C"/>
    <x v="0"/>
    <x v="1"/>
    <x v="17"/>
    <n v="87832"/>
    <n v="11"/>
    <n v="18.100000380000001"/>
    <n v="1"/>
    <n v="85"/>
    <n v="66.899999620000003"/>
    <n v="1.2523909281355315E-4"/>
    <n v="0.09"/>
    <n v="1.64545458"/>
    <n v="18.100000380000001"/>
    <n v="3.6961324980922456"/>
  </r>
  <r>
    <n v="1121764"/>
    <s v="Campanha C"/>
    <x v="0"/>
    <x v="1"/>
    <x v="17"/>
    <n v="23368"/>
    <n v="3"/>
    <n v="4.3000001909999996"/>
    <n v="0"/>
    <n v="0"/>
    <n v="-4.3000001909999996"/>
    <n v="1.2838069154399179E-4"/>
    <n v="0"/>
    <n v="1.433333397"/>
    <n v="0"/>
    <n v="-1"/>
  </r>
  <r>
    <n v="1121765"/>
    <s v="Campanha C"/>
    <x v="0"/>
    <x v="1"/>
    <x v="17"/>
    <n v="51509"/>
    <n v="7"/>
    <n v="11.570000050000001"/>
    <n v="0"/>
    <n v="0"/>
    <n v="-11.570000050000001"/>
    <n v="1.3589858083053446E-4"/>
    <n v="0"/>
    <n v="1.6528571500000002"/>
    <n v="0"/>
    <n v="-1"/>
  </r>
  <r>
    <n v="1121767"/>
    <s v="Campanha C"/>
    <x v="0"/>
    <x v="1"/>
    <x v="17"/>
    <n v="87043"/>
    <n v="16"/>
    <n v="24.480000019999999"/>
    <n v="4"/>
    <n v="340"/>
    <n v="315.51999998000002"/>
    <n v="1.8381719380076514E-4"/>
    <n v="0.25"/>
    <n v="1.5300000012499999"/>
    <n v="6.1200000049999996"/>
    <n v="12.88888887754176"/>
  </r>
  <r>
    <n v="1121768"/>
    <s v="Campanha C"/>
    <x v="0"/>
    <x v="1"/>
    <x v="17"/>
    <n v="565565"/>
    <n v="113"/>
    <n v="169.66999820000001"/>
    <n v="10"/>
    <n v="850"/>
    <n v="680.33000179999999"/>
    <n v="1.998001998001998E-4"/>
    <n v="0.09"/>
    <n v="1.5015044088495575"/>
    <n v="16.966999820000002"/>
    <n v="4.0097248129752145"/>
  </r>
  <r>
    <n v="1121769"/>
    <s v="Campanha C"/>
    <x v="0"/>
    <x v="1"/>
    <x v="2"/>
    <n v="253758"/>
    <n v="43"/>
    <n v="62.14000034"/>
    <n v="5"/>
    <n v="425"/>
    <n v="362.85999965999997"/>
    <n v="1.6945278572498207E-4"/>
    <n v="0.12"/>
    <n v="1.4451162869767442"/>
    <n v="12.428000067999999"/>
    <n v="5.839394877286864"/>
  </r>
  <r>
    <n v="1121773"/>
    <s v="Campanha C"/>
    <x v="0"/>
    <x v="1"/>
    <x v="2"/>
    <n v="319131"/>
    <n v="51"/>
    <n v="76.680000250000006"/>
    <n v="7"/>
    <n v="595"/>
    <n v="518.31999974999997"/>
    <n v="1.5980898126474708E-4"/>
    <n v="0.14000000000000001"/>
    <n v="1.5035294166666668"/>
    <n v="10.95428575"/>
    <n v="6.7595200581653616"/>
  </r>
  <r>
    <n v="1121774"/>
    <s v="Campanha C"/>
    <x v="0"/>
    <x v="1"/>
    <x v="2"/>
    <n v="670608"/>
    <n v="130"/>
    <n v="195.14999779999999"/>
    <n v="15"/>
    <n v="1275"/>
    <n v="1079.8500022000001"/>
    <n v="1.9385393553312814E-4"/>
    <n v="0.12"/>
    <n v="1.5011538292307691"/>
    <n v="13.009999853333333"/>
    <n v="5.5334358922549782"/>
  </r>
  <r>
    <n v="1121775"/>
    <s v="Campanha C"/>
    <x v="0"/>
    <x v="1"/>
    <x v="10"/>
    <n v="159123"/>
    <n v="25"/>
    <n v="38.360000130000003"/>
    <n v="6"/>
    <n v="510"/>
    <n v="471.63999987"/>
    <n v="1.5711116557631517E-4"/>
    <n v="0.24"/>
    <n v="1.5344000052000002"/>
    <n v="6.3933333550000002"/>
    <n v="12.295099016466034"/>
  </r>
  <r>
    <n v="1121776"/>
    <s v="Campanha C"/>
    <x v="0"/>
    <x v="1"/>
    <x v="10"/>
    <n v="103709"/>
    <n v="15"/>
    <n v="24.56999969"/>
    <n v="7"/>
    <n v="595"/>
    <n v="570.43000030999997"/>
    <n v="1.4463547040276158E-4"/>
    <n v="0.47"/>
    <n v="1.6379999793333333"/>
    <n v="3.5099999557142856"/>
    <n v="23.216524522064411"/>
  </r>
  <r>
    <n v="1121779"/>
    <s v="Campanha C"/>
    <x v="0"/>
    <x v="1"/>
    <x v="10"/>
    <n v="271589"/>
    <n v="45"/>
    <n v="74.410000319999995"/>
    <n v="14"/>
    <n v="1190"/>
    <n v="1115.5899996799999"/>
    <n v="1.6569154126271681E-4"/>
    <n v="0.31"/>
    <n v="1.6535555626666665"/>
    <n v="5.3150000228571423"/>
    <n v="14.992474061045669"/>
  </r>
  <r>
    <n v="1121780"/>
    <s v="Campanha C"/>
    <x v="0"/>
    <x v="1"/>
    <x v="10"/>
    <n v="119772"/>
    <n v="20"/>
    <n v="33.46999907"/>
    <n v="6"/>
    <n v="510"/>
    <n v="476.53000093000003"/>
    <n v="1.6698393614534283E-4"/>
    <n v="0.3"/>
    <n v="1.6734999534999999"/>
    <n v="5.5783331783333336"/>
    <n v="14.237526566205549"/>
  </r>
  <r>
    <n v="1121782"/>
    <s v="Campanha C"/>
    <x v="0"/>
    <x v="1"/>
    <x v="22"/>
    <n v="26340"/>
    <n v="3"/>
    <n v="4.2200000290000004"/>
    <n v="3"/>
    <n v="255"/>
    <n v="250.779999971"/>
    <n v="1.1389521640091117E-4"/>
    <n v="1"/>
    <n v="1.4066666763333335"/>
    <n v="1.4066666763333335"/>
    <n v="59.426539869106712"/>
  </r>
  <r>
    <n v="1121783"/>
    <s v="Campanha C"/>
    <x v="0"/>
    <x v="1"/>
    <x v="22"/>
    <n v="594968"/>
    <n v="111"/>
    <n v="147.67000060000001"/>
    <n v="5"/>
    <n v="425"/>
    <n v="277.32999940000002"/>
    <n v="1.8656465557811513E-4"/>
    <n v="0.05"/>
    <n v="1.3303603657657659"/>
    <n v="29.534000120000002"/>
    <n v="1.8780388587605925"/>
  </r>
  <r>
    <n v="1121791"/>
    <s v="Campanha C"/>
    <x v="0"/>
    <x v="1"/>
    <x v="20"/>
    <n v="6838"/>
    <n v="0"/>
    <n v="0"/>
    <n v="0"/>
    <n v="0"/>
    <n v="0"/>
    <n v="0"/>
    <n v="0"/>
    <n v="0"/>
    <n v="0"/>
    <n v="0"/>
  </r>
  <r>
    <n v="1121793"/>
    <s v="Campanha C"/>
    <x v="0"/>
    <x v="1"/>
    <x v="9"/>
    <n v="185665"/>
    <n v="39"/>
    <n v="62.140000579999999"/>
    <n v="2"/>
    <n v="170"/>
    <n v="107.85999942000001"/>
    <n v="2.1005574556324564E-4"/>
    <n v="0.05"/>
    <n v="1.5933333482051282"/>
    <n v="31.070000289999999"/>
    <n v="1.7357579403485743"/>
  </r>
  <r>
    <n v="1121795"/>
    <s v="Campanha C"/>
    <x v="0"/>
    <x v="1"/>
    <x v="9"/>
    <n v="24959"/>
    <n v="3"/>
    <n v="4.5600000620000003"/>
    <n v="4"/>
    <n v="340"/>
    <n v="335.43999993800003"/>
    <n v="1.2019712328218278E-4"/>
    <n v="1.33"/>
    <n v="1.5200000206666668"/>
    <n v="1.1400000155000001"/>
    <n v="73.561402494998475"/>
  </r>
  <r>
    <n v="1121796"/>
    <s v="Campanha C"/>
    <x v="0"/>
    <x v="1"/>
    <x v="9"/>
    <n v="136967"/>
    <n v="23"/>
    <n v="35.059999820000002"/>
    <n v="6"/>
    <n v="510"/>
    <n v="474.94000017999997"/>
    <n v="1.6792366044375651E-4"/>
    <n v="0.26"/>
    <n v="1.5243478182608696"/>
    <n v="5.8433333033333339"/>
    <n v="13.546491803147989"/>
  </r>
  <r>
    <n v="1121798"/>
    <s v="Campanha C"/>
    <x v="0"/>
    <x v="1"/>
    <x v="9"/>
    <n v="107548"/>
    <n v="19"/>
    <n v="29.310000179999999"/>
    <n v="0"/>
    <n v="0"/>
    <n v="-29.310000179999999"/>
    <n v="1.7666530293450366E-4"/>
    <n v="0"/>
    <n v="1.5426315884210526"/>
    <n v="0"/>
    <n v="-1"/>
  </r>
  <r>
    <n v="1121803"/>
    <s v="Campanha C"/>
    <x v="0"/>
    <x v="1"/>
    <x v="15"/>
    <n v="588617"/>
    <n v="119"/>
    <n v="169.91999730000001"/>
    <n v="2"/>
    <n v="170"/>
    <n v="8.000269999999432E-2"/>
    <n v="2.0216881265746657E-4"/>
    <n v="0.02"/>
    <n v="1.42789913697479"/>
    <n v="84.959998650000003"/>
    <n v="4.708256901555066E-4"/>
  </r>
  <r>
    <n v="1121806"/>
    <s v="Campanha C"/>
    <x v="0"/>
    <x v="1"/>
    <x v="18"/>
    <n v="190560"/>
    <n v="26"/>
    <n v="41.63"/>
    <n v="5"/>
    <n v="425"/>
    <n v="383.37"/>
    <n v="1.3643996641477749E-4"/>
    <n v="0.19"/>
    <n v="1.6011538461538461"/>
    <n v="8.3260000000000005"/>
    <n v="9.2089839058371368"/>
  </r>
  <r>
    <n v="1121807"/>
    <s v="Campanha C"/>
    <x v="0"/>
    <x v="1"/>
    <x v="18"/>
    <n v="373110"/>
    <n v="49"/>
    <n v="75.700000759999995"/>
    <n v="5"/>
    <n v="425"/>
    <n v="349.29999924000003"/>
    <n v="1.3132856262228296E-4"/>
    <n v="0.1"/>
    <n v="1.5448979746938774"/>
    <n v="15.140000151999999"/>
    <n v="4.6142667864353673"/>
  </r>
  <r>
    <n v="1121812"/>
    <s v="Campanha C"/>
    <x v="0"/>
    <x v="1"/>
    <x v="5"/>
    <n v="935646"/>
    <n v="170"/>
    <n v="256.46999820000002"/>
    <n v="24"/>
    <n v="2040"/>
    <n v="1783.5300018"/>
    <n v="1.8169264871543297E-4"/>
    <n v="0.14000000000000001"/>
    <n v="1.5086470482352943"/>
    <n v="10.686249925"/>
    <n v="6.9541467396477721"/>
  </r>
  <r>
    <n v="1121814"/>
    <s v="Campanha C"/>
    <x v="0"/>
    <x v="1"/>
    <x v="5"/>
    <n v="2223278"/>
    <n v="421"/>
    <n v="612.30000319999999"/>
    <n v="50"/>
    <n v="4250"/>
    <n v="3637.6999968"/>
    <n v="1.8936003504734899E-4"/>
    <n v="0.12"/>
    <n v="1.4543943068883611"/>
    <n v="12.246000064"/>
    <n v="5.9410419366138587"/>
  </r>
  <r>
    <n v="1121815"/>
    <s v="Campanha C"/>
    <x v="0"/>
    <x v="1"/>
    <x v="5"/>
    <n v="240497"/>
    <n v="36"/>
    <n v="51.840000869999997"/>
    <n v="4"/>
    <n v="340"/>
    <n v="288.15999913000002"/>
    <n v="1.4969001692328803E-4"/>
    <n v="0.11"/>
    <n v="1.4400000241666666"/>
    <n v="12.960000217499999"/>
    <n v="5.558641865238843"/>
  </r>
  <r>
    <n v="1121816"/>
    <s v="Campanha C"/>
    <x v="0"/>
    <x v="1"/>
    <x v="5"/>
    <n v="259984"/>
    <n v="37"/>
    <n v="54.790000200000001"/>
    <n v="10"/>
    <n v="850"/>
    <n v="795.20999979999999"/>
    <n v="1.4231645024309188E-4"/>
    <n v="0.27"/>
    <n v="1.4808108162162164"/>
    <n v="5.47900002"/>
    <n v="14.513779830210696"/>
  </r>
  <r>
    <n v="1121817"/>
    <s v="Campanha C"/>
    <x v="0"/>
    <x v="1"/>
    <x v="3"/>
    <n v="606786"/>
    <n v="127"/>
    <n v="179.05000100000001"/>
    <n v="14"/>
    <n v="1190"/>
    <n v="1010.9499989999999"/>
    <n v="2.0929948944108795E-4"/>
    <n v="0.11"/>
    <n v="1.4098425275590551"/>
    <n v="12.789285785714286"/>
    <n v="5.6461881784630643"/>
  </r>
  <r>
    <n v="1121818"/>
    <s v="Campanha C"/>
    <x v="0"/>
    <x v="1"/>
    <x v="3"/>
    <n v="83270"/>
    <n v="13"/>
    <n v="17.740000009999999"/>
    <n v="0"/>
    <n v="0"/>
    <n v="-17.740000009999999"/>
    <n v="1.5611865017413235E-4"/>
    <n v="0"/>
    <n v="1.3646153853846152"/>
    <n v="0"/>
    <n v="-1"/>
  </r>
  <r>
    <n v="1121819"/>
    <s v="Campanha C"/>
    <x v="0"/>
    <x v="1"/>
    <x v="3"/>
    <n v="1189509"/>
    <n v="268"/>
    <n v="375.71999629999999"/>
    <n v="12"/>
    <n v="1020"/>
    <n v="644.28000369999995"/>
    <n v="2.2530304520604721E-4"/>
    <n v="0.04"/>
    <n v="1.4019402847014926"/>
    <n v="31.309999691666665"/>
    <n v="1.7147876345276116"/>
  </r>
  <r>
    <n v="1121820"/>
    <s v="Campanha C"/>
    <x v="0"/>
    <x v="1"/>
    <x v="3"/>
    <n v="11471"/>
    <n v="1"/>
    <n v="1.5700000519999999"/>
    <n v="2"/>
    <n v="170"/>
    <n v="168.42999994799999"/>
    <n v="8.7176357771772298E-5"/>
    <n v="2"/>
    <n v="1.5700000519999999"/>
    <n v="0.78500002599999996"/>
    <n v="107.28025119071779"/>
  </r>
  <r>
    <n v="1121824"/>
    <s v="Campanha C"/>
    <x v="0"/>
    <x v="1"/>
    <x v="4"/>
    <n v="1705246"/>
    <n v="295"/>
    <n v="429.47999809999999"/>
    <n v="33"/>
    <n v="2805"/>
    <n v="2375.5200018999999"/>
    <n v="1.7299556779491054E-4"/>
    <n v="0.11"/>
    <n v="1.4558644003389831"/>
    <n v="13.014545396969696"/>
    <n v="5.5311539825118574"/>
  </r>
  <r>
    <n v="1121826"/>
    <s v="Campanha C"/>
    <x v="0"/>
    <x v="1"/>
    <x v="4"/>
    <n v="418016"/>
    <n v="63"/>
    <n v="95.850000499999993"/>
    <n v="6"/>
    <n v="510"/>
    <n v="414.14999950000004"/>
    <n v="1.5071193447140779E-4"/>
    <n v="0.1"/>
    <n v="1.5214285793650792"/>
    <n v="15.975000083333333"/>
    <n v="4.3208137437620575"/>
  </r>
  <r>
    <n v="1121827"/>
    <s v="Campanha C"/>
    <x v="0"/>
    <x v="1"/>
    <x v="4"/>
    <n v="30155"/>
    <n v="3"/>
    <n v="3.8199999330000001"/>
    <n v="0"/>
    <n v="0"/>
    <n v="-3.8199999330000001"/>
    <n v="9.9485989056541203E-5"/>
    <n v="0"/>
    <n v="1.273333311"/>
    <n v="0"/>
    <n v="-1"/>
  </r>
  <r>
    <n v="1121828"/>
    <s v="Campanha C"/>
    <x v="0"/>
    <x v="1"/>
    <x v="4"/>
    <n v="990404"/>
    <n v="153"/>
    <n v="226.53999920000001"/>
    <n v="18"/>
    <n v="1530"/>
    <n v="1303.4600008"/>
    <n v="1.5448241323742635E-4"/>
    <n v="0.12"/>
    <n v="1.4806535895424837"/>
    <n v="12.585555511111112"/>
    <n v="5.7537741917675431"/>
  </r>
  <r>
    <n v="1121829"/>
    <s v="Campanha C"/>
    <x v="0"/>
    <x v="1"/>
    <x v="8"/>
    <n v="187468"/>
    <n v="34"/>
    <n v="50.72000062"/>
    <n v="0"/>
    <n v="0"/>
    <n v="-50.72000062"/>
    <n v="1.813642861715066E-4"/>
    <n v="0"/>
    <n v="1.491764724117647"/>
    <n v="0"/>
    <n v="-1"/>
  </r>
  <r>
    <n v="1121832"/>
    <s v="Campanha C"/>
    <x v="0"/>
    <x v="1"/>
    <x v="8"/>
    <n v="208301"/>
    <n v="33"/>
    <n v="54.570000890000003"/>
    <n v="0"/>
    <n v="0"/>
    <n v="-54.570000890000003"/>
    <n v="1.5842458749597938E-4"/>
    <n v="0"/>
    <n v="1.6536363906060607"/>
    <n v="0"/>
    <n v="-1"/>
  </r>
  <r>
    <n v="1121833"/>
    <s v="Campanha C"/>
    <x v="0"/>
    <x v="1"/>
    <x v="8"/>
    <n v="101856"/>
    <n v="16"/>
    <n v="25.220000389999999"/>
    <n v="2"/>
    <n v="170"/>
    <n v="144.77999961"/>
    <n v="1.5708451146716933E-4"/>
    <n v="0.13"/>
    <n v="1.5762500243749999"/>
    <n v="12.610000195"/>
    <n v="5.7406818941766087"/>
  </r>
  <r>
    <n v="1121835"/>
    <s v="Campanha C"/>
    <x v="0"/>
    <x v="1"/>
    <x v="6"/>
    <n v="48935"/>
    <n v="7"/>
    <n v="9.9700002669999996"/>
    <n v="1"/>
    <n v="85"/>
    <n v="75.029999732999997"/>
    <n v="1.4304689894758353E-4"/>
    <n v="0.14000000000000001"/>
    <n v="1.4242857524285715"/>
    <n v="9.9700002669999996"/>
    <n v="7.5255765018727256"/>
  </r>
  <r>
    <n v="1121839"/>
    <s v="Campanha C"/>
    <x v="0"/>
    <x v="1"/>
    <x v="6"/>
    <n v="13911"/>
    <n v="1"/>
    <n v="1.730000019"/>
    <n v="1"/>
    <n v="85"/>
    <n v="83.269999980999998"/>
    <n v="7.1885558191359353E-5"/>
    <n v="1"/>
    <n v="1.730000019"/>
    <n v="1.730000019"/>
    <n v="48.132947437268207"/>
  </r>
  <r>
    <n v="1121841"/>
    <s v="Campanha C"/>
    <x v="0"/>
    <x v="1"/>
    <x v="11"/>
    <n v="511726"/>
    <n v="77"/>
    <n v="123.0900019"/>
    <n v="13"/>
    <n v="1105"/>
    <n v="981.90999809999994"/>
    <n v="1.5047115057667581E-4"/>
    <n v="0.17"/>
    <n v="1.5985714532467532"/>
    <n v="9.4684616846153844"/>
    <n v="7.9771710369922406"/>
  </r>
  <r>
    <n v="1121843"/>
    <s v="Campanha C"/>
    <x v="0"/>
    <x v="1"/>
    <x v="11"/>
    <n v="177452"/>
    <n v="24"/>
    <n v="37.830000159999997"/>
    <n v="5"/>
    <n v="425"/>
    <n v="387.16999984"/>
    <n v="1.3524784166986002E-4"/>
    <n v="0.21"/>
    <n v="1.5762500066666665"/>
    <n v="7.5660000319999998"/>
    <n v="10.234469949840994"/>
  </r>
  <r>
    <n v="1121844"/>
    <s v="Campanha C"/>
    <x v="0"/>
    <x v="1"/>
    <x v="11"/>
    <n v="149808"/>
    <n v="20"/>
    <n v="33.039999369999997"/>
    <n v="0"/>
    <n v="0"/>
    <n v="-33.039999369999997"/>
    <n v="1.3350421873331198E-4"/>
    <n v="0"/>
    <n v="1.6519999684999997"/>
    <n v="0"/>
    <n v="-1"/>
  </r>
  <r>
    <n v="1121845"/>
    <s v="Campanha C"/>
    <x v="0"/>
    <x v="1"/>
    <x v="11"/>
    <n v="390339"/>
    <n v="60"/>
    <n v="105.0199997"/>
    <n v="15"/>
    <n v="1275"/>
    <n v="1169.9800003"/>
    <n v="1.5371254217487877E-4"/>
    <n v="0.25"/>
    <n v="1.7503333283333333"/>
    <n v="7.0013333133333333"/>
    <n v="11.140544692841015"/>
  </r>
  <r>
    <n v="1121846"/>
    <s v="Campanha C"/>
    <x v="0"/>
    <x v="1"/>
    <x v="11"/>
    <n v="8350"/>
    <n v="0"/>
    <n v="0"/>
    <n v="0"/>
    <n v="0"/>
    <n v="0"/>
    <n v="0"/>
    <n v="0"/>
    <n v="0"/>
    <n v="0"/>
    <n v="0"/>
  </r>
  <r>
    <n v="1121847"/>
    <s v="Campanha C"/>
    <x v="0"/>
    <x v="1"/>
    <x v="19"/>
    <n v="39339"/>
    <n v="4"/>
    <n v="5.9299999479999999"/>
    <n v="4"/>
    <n v="340"/>
    <n v="334.07000005200001"/>
    <n v="1.0168026640229797E-4"/>
    <n v="1"/>
    <n v="1.482499987"/>
    <n v="1.482499987"/>
    <n v="56.335582290295157"/>
  </r>
  <r>
    <n v="1121854"/>
    <s v="Campanha C"/>
    <x v="0"/>
    <x v="1"/>
    <x v="13"/>
    <n v="8587"/>
    <n v="0"/>
    <n v="0"/>
    <n v="0"/>
    <n v="0"/>
    <n v="0"/>
    <n v="0"/>
    <n v="0"/>
    <n v="0"/>
    <n v="0"/>
    <n v="0"/>
  </r>
  <r>
    <n v="1121855"/>
    <s v="Campanha C"/>
    <x v="0"/>
    <x v="1"/>
    <x v="13"/>
    <n v="24893"/>
    <n v="2"/>
    <n v="3.75"/>
    <n v="1"/>
    <n v="85"/>
    <n v="81.25"/>
    <n v="8.0343871771180648E-5"/>
    <n v="0.5"/>
    <n v="1.875"/>
    <n v="3.75"/>
    <n v="21.666666666666668"/>
  </r>
  <r>
    <n v="1121856"/>
    <s v="Campanha C"/>
    <x v="0"/>
    <x v="1"/>
    <x v="13"/>
    <n v="1296189"/>
    <n v="212"/>
    <n v="343.25999439999998"/>
    <n v="20"/>
    <n v="1700"/>
    <n v="1356.7400056000001"/>
    <n v="1.6355639493931826E-4"/>
    <n v="0.09"/>
    <n v="1.619150916981132"/>
    <n v="17.162999719999998"/>
    <n v="3.9525142100276169"/>
  </r>
  <r>
    <n v="1121857"/>
    <s v="Campanha C"/>
    <x v="0"/>
    <x v="1"/>
    <x v="13"/>
    <n v="91607"/>
    <n v="12"/>
    <n v="19.189999700000001"/>
    <n v="1"/>
    <n v="85"/>
    <n v="65.810000299999999"/>
    <n v="1.3099435632648161E-4"/>
    <n v="0.08"/>
    <n v="1.5991666416666668"/>
    <n v="19.189999700000001"/>
    <n v="3.4293903766970875"/>
  </r>
  <r>
    <n v="1121859"/>
    <s v="Campanha C"/>
    <x v="0"/>
    <x v="1"/>
    <x v="21"/>
    <n v="238036"/>
    <n v="38"/>
    <n v="61.029997710000004"/>
    <n v="11"/>
    <n v="935"/>
    <n v="873.97000229000002"/>
    <n v="1.5963971836192845E-4"/>
    <n v="0.28999999999999998"/>
    <n v="1.6060525713157896"/>
    <n v="5.5481816100000003"/>
    <n v="14.320334836696162"/>
  </r>
  <r>
    <n v="1121860"/>
    <s v="Campanha C"/>
    <x v="0"/>
    <x v="1"/>
    <x v="21"/>
    <n v="254344"/>
    <n v="35"/>
    <n v="56.169999959999998"/>
    <n v="3"/>
    <n v="255"/>
    <n v="198.83000004000002"/>
    <n v="1.3760890762117448E-4"/>
    <n v="0.09"/>
    <n v="1.6048571417142856"/>
    <n v="18.723333319999998"/>
    <n v="3.5397899266795729"/>
  </r>
  <r>
    <n v="1121861"/>
    <s v="Campanha C"/>
    <x v="0"/>
    <x v="1"/>
    <x v="21"/>
    <n v="157705"/>
    <n v="23"/>
    <n v="39.230000259999997"/>
    <n v="3"/>
    <n v="255"/>
    <n v="215.76999974"/>
    <n v="1.4584192004058209E-4"/>
    <n v="0.13"/>
    <n v="1.7056521852173911"/>
    <n v="13.076666753333333"/>
    <n v="5.5001274103993598"/>
  </r>
  <r>
    <n v="1121862"/>
    <s v="Campanha C"/>
    <x v="0"/>
    <x v="1"/>
    <x v="21"/>
    <n v="411571"/>
    <n v="60"/>
    <n v="99.179998400000002"/>
    <n v="13"/>
    <n v="1105"/>
    <n v="1005.8200016"/>
    <n v="1.4578286613974259E-4"/>
    <n v="0.22"/>
    <n v="1.6529999733333334"/>
    <n v="7.6292306461538466"/>
    <n v="10.141359324724489"/>
  </r>
  <r>
    <n v="1121863"/>
    <s v="Campanha C"/>
    <x v="0"/>
    <x v="1"/>
    <x v="21"/>
    <n v="94136"/>
    <n v="11"/>
    <n v="16.179999710000001"/>
    <n v="1"/>
    <n v="85"/>
    <n v="68.820000289999996"/>
    <n v="1.1685221381830543E-4"/>
    <n v="0.09"/>
    <n v="1.4709090645454546"/>
    <n v="16.179999710000001"/>
    <n v="4.2533993525022131"/>
  </r>
  <r>
    <n v="1121867"/>
    <s v="Campanha C"/>
    <x v="0"/>
    <x v="1"/>
    <x v="14"/>
    <n v="82640"/>
    <n v="16"/>
    <n v="23.970000389999999"/>
    <n v="1"/>
    <n v="85"/>
    <n v="61.029999610000004"/>
    <n v="1.9361084220716361E-4"/>
    <n v="0.06"/>
    <n v="1.4981250243749999"/>
    <n v="23.970000389999999"/>
    <n v="2.5460992330839094"/>
  </r>
  <r>
    <n v="1121869"/>
    <s v="Campanha C"/>
    <x v="0"/>
    <x v="1"/>
    <x v="14"/>
    <n v="17870"/>
    <n v="2"/>
    <n v="2.6200000050000001"/>
    <n v="2"/>
    <n v="170"/>
    <n v="167.37999999499999"/>
    <n v="1.1191941801902631E-4"/>
    <n v="1"/>
    <n v="1.3100000025"/>
    <n v="1.3100000025"/>
    <n v="63.885496059378816"/>
  </r>
  <r>
    <n v="1121871"/>
    <s v="Campanha C"/>
    <x v="0"/>
    <x v="1"/>
    <x v="23"/>
    <n v="19178"/>
    <n v="2"/>
    <n v="2.7799999710000001"/>
    <n v="5"/>
    <n v="425"/>
    <n v="422.220000029"/>
    <n v="1.0428616122640526E-4"/>
    <n v="2.5"/>
    <n v="1.3899999855"/>
    <n v="0.55599999420000001"/>
    <n v="151.877699436494"/>
  </r>
  <r>
    <n v="1121873"/>
    <s v="Campanha C"/>
    <x v="0"/>
    <x v="1"/>
    <x v="23"/>
    <n v="5264"/>
    <n v="0"/>
    <n v="0"/>
    <n v="0"/>
    <n v="0"/>
    <n v="0"/>
    <n v="0"/>
    <n v="0"/>
    <n v="0"/>
    <n v="0"/>
    <n v="0"/>
  </r>
  <r>
    <n v="1121874"/>
    <s v="Campanha C"/>
    <x v="0"/>
    <x v="1"/>
    <x v="23"/>
    <n v="145548"/>
    <n v="28"/>
    <n v="42.370000359999999"/>
    <n v="4"/>
    <n v="340"/>
    <n v="297.62999963999999"/>
    <n v="1.9237639816417951E-4"/>
    <n v="0.14000000000000001"/>
    <n v="1.5132142985714285"/>
    <n v="10.59250009"/>
    <n v="7.0245456009243235"/>
  </r>
  <r>
    <n v="1121876"/>
    <s v="Campanha C"/>
    <x v="0"/>
    <x v="1"/>
    <x v="23"/>
    <n v="82455"/>
    <n v="15"/>
    <n v="22.049999710000002"/>
    <n v="2"/>
    <n v="170"/>
    <n v="147.95000028999999"/>
    <n v="1.8191740949608878E-4"/>
    <n v="0.13"/>
    <n v="1.4699999806666668"/>
    <n v="11.024999855000001"/>
    <n v="6.7097506682915045"/>
  </r>
  <r>
    <n v="1121877"/>
    <s v="Campanha C"/>
    <x v="0"/>
    <x v="1"/>
    <x v="7"/>
    <n v="44189"/>
    <n v="7"/>
    <n v="10.319999810000001"/>
    <n v="5"/>
    <n v="425"/>
    <n v="414.68000018999999"/>
    <n v="1.5841046414265993E-4"/>
    <n v="0.71"/>
    <n v="1.4742856871428571"/>
    <n v="2.063999962"/>
    <n v="40.182171300834547"/>
  </r>
  <r>
    <n v="1121878"/>
    <s v="Campanha C"/>
    <x v="0"/>
    <x v="1"/>
    <x v="7"/>
    <n v="45199"/>
    <n v="7"/>
    <n v="9.8099999429999993"/>
    <n v="1"/>
    <n v="85"/>
    <n v="75.190000057000006"/>
    <n v="1.5487068297971194E-4"/>
    <n v="0.14000000000000001"/>
    <n v="1.4014285632857142"/>
    <n v="9.8099999429999993"/>
    <n v="7.6646279810279108"/>
  </r>
  <r>
    <n v="1121881"/>
    <s v="Campanha C"/>
    <x v="0"/>
    <x v="1"/>
    <x v="7"/>
    <n v="221843"/>
    <n v="43"/>
    <n v="63.450000760000002"/>
    <n v="5"/>
    <n v="425"/>
    <n v="361.54999923999998"/>
    <n v="1.9383077221278111E-4"/>
    <n v="0.12"/>
    <n v="1.4755814130232559"/>
    <n v="12.690000152"/>
    <n v="5.6981874690209215"/>
  </r>
  <r>
    <n v="1121888"/>
    <s v="Campanha C"/>
    <x v="0"/>
    <x v="1"/>
    <x v="24"/>
    <n v="41672"/>
    <n v="6"/>
    <n v="10.54999995"/>
    <n v="2"/>
    <n v="170"/>
    <n v="159.45000005"/>
    <n v="1.4398157035899406E-4"/>
    <n v="0.33"/>
    <n v="1.7583333249999999"/>
    <n v="5.2749999750000001"/>
    <n v="15.113744152197839"/>
  </r>
  <r>
    <n v="1121889"/>
    <s v="Campanha C"/>
    <x v="1"/>
    <x v="1"/>
    <x v="16"/>
    <n v="127546"/>
    <n v="25"/>
    <n v="38.940000410000003"/>
    <n v="1"/>
    <n v="85"/>
    <n v="46.059999589999997"/>
    <n v="1.9600771486365703E-4"/>
    <n v="0.04"/>
    <n v="1.5576000164000001"/>
    <n v="38.940000410000003"/>
    <n v="1.1828453802011656"/>
  </r>
  <r>
    <n v="1121890"/>
    <s v="Campanha C"/>
    <x v="1"/>
    <x v="1"/>
    <x v="16"/>
    <n v="127865"/>
    <n v="28"/>
    <n v="38.029999609999997"/>
    <n v="3"/>
    <n v="255"/>
    <n v="216.97000039"/>
    <n v="2.1898095647753489E-4"/>
    <n v="0.11"/>
    <n v="1.3582142717857142"/>
    <n v="12.676666536666666"/>
    <n v="5.7052327797801947"/>
  </r>
  <r>
    <n v="1121891"/>
    <s v="Campanha C"/>
    <x v="1"/>
    <x v="1"/>
    <x v="16"/>
    <n v="1025327"/>
    <n v="229"/>
    <n v="314.29999830000003"/>
    <n v="14"/>
    <n v="1190"/>
    <n v="875.70000170000003"/>
    <n v="2.2334338216003285E-4"/>
    <n v="0.06"/>
    <n v="1.3724890755458516"/>
    <n v="22.449999878571429"/>
    <n v="2.7861915572272529"/>
  </r>
  <r>
    <n v="1121894"/>
    <s v="Campanha C"/>
    <x v="1"/>
    <x v="1"/>
    <x v="16"/>
    <n v="561415"/>
    <n v="124"/>
    <n v="173.76"/>
    <n v="5"/>
    <n v="425"/>
    <n v="251.24"/>
    <n v="2.2087047905738178E-4"/>
    <n v="0.04"/>
    <n v="1.401290322580645"/>
    <n v="34.751999999999995"/>
    <n v="1.4459023941068141"/>
  </r>
  <r>
    <n v="1121895"/>
    <s v="Campanha C"/>
    <x v="1"/>
    <x v="1"/>
    <x v="0"/>
    <n v="132803"/>
    <n v="25"/>
    <n v="37.320001240000003"/>
    <n v="6"/>
    <n v="510"/>
    <n v="472.67999875999999"/>
    <n v="1.8824875944067529E-4"/>
    <n v="0.24"/>
    <n v="1.4928000496000002"/>
    <n v="6.2200002066666675"/>
    <n v="12.665594401250345"/>
  </r>
  <r>
    <n v="1121897"/>
    <s v="Campanha C"/>
    <x v="1"/>
    <x v="1"/>
    <x v="0"/>
    <n v="24664"/>
    <n v="2"/>
    <n v="2.6299999949999999"/>
    <n v="1"/>
    <n v="85"/>
    <n v="82.370000004999994"/>
    <n v="8.1089847551086601E-5"/>
    <n v="0.5"/>
    <n v="1.3149999975"/>
    <n v="2.6299999949999999"/>
    <n v="31.319391696424699"/>
  </r>
  <r>
    <n v="1121901"/>
    <s v="Campanha C"/>
    <x v="1"/>
    <x v="1"/>
    <x v="1"/>
    <n v="1020561"/>
    <n v="172"/>
    <n v="263.81000069999999"/>
    <n v="7"/>
    <n v="595"/>
    <n v="331.18999930000001"/>
    <n v="1.6853475686411689E-4"/>
    <n v="0.04"/>
    <n v="1.5337790738372092"/>
    <n v="37.687142957142854"/>
    <n v="1.255411085331156"/>
  </r>
  <r>
    <n v="1121902"/>
    <s v="Campanha C"/>
    <x v="1"/>
    <x v="1"/>
    <x v="1"/>
    <n v="682143"/>
    <n v="114"/>
    <n v="177.1099993"/>
    <n v="10"/>
    <n v="850"/>
    <n v="672.89000069999997"/>
    <n v="1.6712038384913427E-4"/>
    <n v="0.09"/>
    <n v="1.5535964850877193"/>
    <n v="17.71099993"/>
    <n v="3.7992773042713233"/>
  </r>
  <r>
    <n v="1121903"/>
    <s v="Campanha C"/>
    <x v="1"/>
    <x v="1"/>
    <x v="1"/>
    <n v="1247717"/>
    <n v="222"/>
    <n v="343.41999939999999"/>
    <n v="15"/>
    <n v="1275"/>
    <n v="931.58000059999995"/>
    <n v="1.7792496215087236E-4"/>
    <n v="7.0000000000000007E-2"/>
    <n v="1.5469369342342343"/>
    <n v="22.894666626666666"/>
    <n v="2.7126550644330352"/>
  </r>
  <r>
    <n v="1121904"/>
    <s v="Campanha C"/>
    <x v="1"/>
    <x v="1"/>
    <x v="1"/>
    <n v="146406"/>
    <n v="23"/>
    <n v="33.229999419999999"/>
    <n v="5"/>
    <n v="425"/>
    <n v="391.77000057999999"/>
    <n v="1.5709738671912352E-4"/>
    <n v="0.22"/>
    <n v="1.4447825834782608"/>
    <n v="6.6459998840000001"/>
    <n v="11.789648131748297"/>
  </r>
  <r>
    <n v="1121905"/>
    <s v="Campanha C"/>
    <x v="1"/>
    <x v="1"/>
    <x v="1"/>
    <n v="905699"/>
    <n v="161"/>
    <n v="234.65999819999999"/>
    <n v="7"/>
    <n v="595"/>
    <n v="360.34000179999998"/>
    <n v="1.7776325247129566E-4"/>
    <n v="0.04"/>
    <n v="1.4575155167701863"/>
    <n v="33.522856885714283"/>
    <n v="1.5355834167052338"/>
  </r>
  <r>
    <n v="1121906"/>
    <s v="Campanha C"/>
    <x v="1"/>
    <x v="1"/>
    <x v="1"/>
    <n v="1184580"/>
    <n v="194"/>
    <n v="297.82999810000001"/>
    <n v="15"/>
    <n v="1275"/>
    <n v="977.17000189999999"/>
    <n v="1.6377112563102533E-4"/>
    <n v="0.08"/>
    <n v="1.5352061757731958"/>
    <n v="19.855333206666668"/>
    <n v="3.2809656788565111"/>
  </r>
  <r>
    <n v="1121907"/>
    <s v="Campanha C"/>
    <x v="1"/>
    <x v="1"/>
    <x v="12"/>
    <n v="98057"/>
    <n v="20"/>
    <n v="31.009999629999999"/>
    <n v="3"/>
    <n v="255"/>
    <n v="223.99000036999999"/>
    <n v="2.0396300111159835E-4"/>
    <n v="0.15"/>
    <n v="1.5504999815"/>
    <n v="10.336666543333333"/>
    <n v="7.2231539194636225"/>
  </r>
  <r>
    <n v="1121917"/>
    <s v="Campanha C"/>
    <x v="1"/>
    <x v="1"/>
    <x v="17"/>
    <n v="238735"/>
    <n v="56"/>
    <n v="84.659998889999997"/>
    <n v="3"/>
    <n v="255"/>
    <n v="170.34000111"/>
    <n v="2.3456971118604309E-4"/>
    <n v="0.05"/>
    <n v="1.5117856944642856"/>
    <n v="28.21999963"/>
    <n v="2.0120482322628579"/>
  </r>
  <r>
    <n v="1121918"/>
    <s v="Campanha C"/>
    <x v="1"/>
    <x v="1"/>
    <x v="17"/>
    <n v="320657"/>
    <n v="77"/>
    <n v="115.8800026"/>
    <n v="1"/>
    <n v="85"/>
    <n v="-30.880002599999997"/>
    <n v="2.401319790305529E-4"/>
    <n v="0.01"/>
    <n v="1.5049350987012986"/>
    <n v="115.8800026"/>
    <n v="-0.26648258463190611"/>
  </r>
  <r>
    <n v="1121925"/>
    <s v="Campanha C"/>
    <x v="1"/>
    <x v="1"/>
    <x v="10"/>
    <n v="244074"/>
    <n v="57"/>
    <n v="84.510000230000003"/>
    <n v="3"/>
    <n v="255"/>
    <n v="170.48999977"/>
    <n v="2.3353573096683791E-4"/>
    <n v="0.05"/>
    <n v="1.4826315829824561"/>
    <n v="28.170000076666668"/>
    <n v="2.0173943829842536"/>
  </r>
  <r>
    <n v="1121928"/>
    <s v="Campanha C"/>
    <x v="1"/>
    <x v="1"/>
    <x v="10"/>
    <n v="39146"/>
    <n v="8"/>
    <n v="13.05999959"/>
    <n v="0"/>
    <n v="0"/>
    <n v="-13.05999959"/>
    <n v="2.0436315332345579E-4"/>
    <n v="0"/>
    <n v="1.63249994875"/>
    <n v="0"/>
    <n v="-1"/>
  </r>
  <r>
    <n v="1121931"/>
    <s v="Campanha C"/>
    <x v="1"/>
    <x v="1"/>
    <x v="22"/>
    <n v="78468"/>
    <n v="15"/>
    <n v="23.649999619999999"/>
    <n v="1"/>
    <n v="85"/>
    <n v="61.350000379999997"/>
    <n v="1.9116072794005199E-4"/>
    <n v="7.0000000000000007E-2"/>
    <n v="1.5766666413333332"/>
    <n v="23.649999619999999"/>
    <n v="2.5940803960148222"/>
  </r>
  <r>
    <n v="1121933"/>
    <s v="Campanha C"/>
    <x v="1"/>
    <x v="1"/>
    <x v="22"/>
    <n v="325653"/>
    <n v="63"/>
    <n v="89.350000260000002"/>
    <n v="2"/>
    <n v="170"/>
    <n v="80.649999739999998"/>
    <n v="1.934574531786902E-4"/>
    <n v="0.03"/>
    <n v="1.4182539723809524"/>
    <n v="44.675000130000001"/>
    <n v="0.90263010078697448"/>
  </r>
  <r>
    <n v="1121935"/>
    <s v="Campanha C"/>
    <x v="1"/>
    <x v="1"/>
    <x v="22"/>
    <n v="66277"/>
    <n v="12"/>
    <n v="17.300000189999999"/>
    <n v="4"/>
    <n v="340"/>
    <n v="322.69999981000001"/>
    <n v="1.8105828567979842E-4"/>
    <n v="0.33"/>
    <n v="1.4416666825"/>
    <n v="4.3250000474999997"/>
    <n v="18.653178974907284"/>
  </r>
  <r>
    <n v="1121936"/>
    <s v="Campanha C"/>
    <x v="1"/>
    <x v="1"/>
    <x v="22"/>
    <n v="93002"/>
    <n v="16"/>
    <n v="23.339999679999998"/>
    <n v="0"/>
    <n v="0"/>
    <n v="-23.339999679999998"/>
    <n v="1.7203931098255953E-4"/>
    <n v="0"/>
    <n v="1.4587499799999999"/>
    <n v="0"/>
    <n v="-1"/>
  </r>
  <r>
    <n v="1121944"/>
    <s v="Campanha C"/>
    <x v="1"/>
    <x v="1"/>
    <x v="9"/>
    <n v="109723"/>
    <n v="27"/>
    <n v="40.960000399999998"/>
    <n v="1"/>
    <n v="85"/>
    <n v="44.039999600000002"/>
    <n v="2.4607420504360979E-4"/>
    <n v="0.04"/>
    <n v="1.5170370518518519"/>
    <n v="40.960000399999998"/>
    <n v="1.075195292234421"/>
  </r>
  <r>
    <n v="1121948"/>
    <s v="Campanha C"/>
    <x v="1"/>
    <x v="1"/>
    <x v="9"/>
    <n v="118941"/>
    <n v="35"/>
    <n v="50.11000001"/>
    <n v="5"/>
    <n v="425"/>
    <n v="374.88999998999998"/>
    <n v="2.9426354242859906E-4"/>
    <n v="0.14000000000000001"/>
    <n v="1.4317142860000001"/>
    <n v="10.022000002"/>
    <n v="7.4813410479981357"/>
  </r>
  <r>
    <n v="1121949"/>
    <s v="Campanha C"/>
    <x v="1"/>
    <x v="1"/>
    <x v="15"/>
    <n v="221576"/>
    <n v="47"/>
    <n v="66.790000680000006"/>
    <n v="7"/>
    <n v="595"/>
    <n v="528.20999931999995"/>
    <n v="2.1211683575838539E-4"/>
    <n v="0.15"/>
    <n v="1.4210638442553192"/>
    <n v="9.5414286685714291"/>
    <n v="7.9085191487079936"/>
  </r>
  <r>
    <n v="1121953"/>
    <s v="Campanha C"/>
    <x v="1"/>
    <x v="1"/>
    <x v="15"/>
    <n v="8341"/>
    <n v="1"/>
    <n v="1.6399999860000001"/>
    <n v="3"/>
    <n v="255"/>
    <n v="253.36000001400001"/>
    <n v="1.1988970147464332E-4"/>
    <n v="3"/>
    <n v="1.6399999860000001"/>
    <n v="0.54666666200000003"/>
    <n v="154.48780620538372"/>
  </r>
  <r>
    <n v="1121954"/>
    <s v="Campanha C"/>
    <x v="1"/>
    <x v="1"/>
    <x v="15"/>
    <n v="120335"/>
    <n v="26"/>
    <n v="36.229999300000003"/>
    <n v="4"/>
    <n v="340"/>
    <n v="303.77000069999997"/>
    <n v="2.1606348942535423E-4"/>
    <n v="0.15"/>
    <n v="1.3934615115384617"/>
    <n v="9.0574998250000007"/>
    <n v="8.3844881746933932"/>
  </r>
  <r>
    <n v="1121955"/>
    <s v="Campanha C"/>
    <x v="1"/>
    <x v="1"/>
    <x v="18"/>
    <n v="182098"/>
    <n v="40"/>
    <n v="62.869999890000003"/>
    <n v="1"/>
    <n v="85"/>
    <n v="22.130000109999997"/>
    <n v="2.1966194027391844E-4"/>
    <n v="0.03"/>
    <n v="1.57174999725"/>
    <n v="62.869999890000003"/>
    <n v="0.35199618496452323"/>
  </r>
  <r>
    <n v="1121956"/>
    <s v="Campanha C"/>
    <x v="1"/>
    <x v="1"/>
    <x v="18"/>
    <n v="227473"/>
    <n v="52"/>
    <n v="71.580000519999999"/>
    <n v="0"/>
    <n v="0"/>
    <n v="-71.580000519999999"/>
    <n v="2.2859855894985338E-4"/>
    <n v="0"/>
    <n v="1.3765384715384614"/>
    <n v="0"/>
    <n v="-1"/>
  </r>
  <r>
    <n v="1121962"/>
    <s v="Campanha C"/>
    <x v="1"/>
    <x v="1"/>
    <x v="5"/>
    <n v="1050947"/>
    <n v="230"/>
    <n v="350.50999569999999"/>
    <n v="3"/>
    <n v="255"/>
    <n v="-95.50999569999999"/>
    <n v="2.1885023697674574E-4"/>
    <n v="0.01"/>
    <n v="1.5239565030434783"/>
    <n v="116.83666523333333"/>
    <n v="-0.27248865045705167"/>
  </r>
  <r>
    <n v="1121963"/>
    <s v="Campanha C"/>
    <x v="1"/>
    <x v="1"/>
    <x v="5"/>
    <n v="720859"/>
    <n v="162"/>
    <n v="213.6899986"/>
    <n v="14"/>
    <n v="1190"/>
    <n v="976.31000140000003"/>
    <n v="2.2473188237921702E-4"/>
    <n v="0.09"/>
    <n v="1.3190740654320987"/>
    <n v="15.263571328571429"/>
    <n v="4.5688146745113976"/>
  </r>
  <r>
    <n v="1121971"/>
    <s v="Campanha C"/>
    <x v="1"/>
    <x v="1"/>
    <x v="3"/>
    <n v="41111"/>
    <n v="8"/>
    <n v="10.96000016"/>
    <n v="2"/>
    <n v="170"/>
    <n v="159.03999984000001"/>
    <n v="1.9459512052735276E-4"/>
    <n v="0.25"/>
    <n v="1.37000002"/>
    <n v="5.4800000799999999"/>
    <n v="14.510948678672284"/>
  </r>
  <r>
    <n v="1121973"/>
    <s v="Campanha C"/>
    <x v="1"/>
    <x v="1"/>
    <x v="4"/>
    <n v="148616"/>
    <n v="25"/>
    <n v="37.399999620000003"/>
    <n v="7"/>
    <n v="595"/>
    <n v="557.60000037999998"/>
    <n v="1.6821876513968887E-4"/>
    <n v="0.28000000000000003"/>
    <n v="1.4959999848000001"/>
    <n v="5.3428570885714288"/>
    <n v="14.909091070734078"/>
  </r>
  <r>
    <n v="1121976"/>
    <s v="Campanha C"/>
    <x v="1"/>
    <x v="1"/>
    <x v="4"/>
    <n v="707260"/>
    <n v="135"/>
    <n v="210.8200028"/>
    <n v="21"/>
    <n v="1785"/>
    <n v="1574.1799971999999"/>
    <n v="1.9087747080281651E-4"/>
    <n v="0.16"/>
    <n v="1.5616296503703704"/>
    <n v="10.039047752380952"/>
    <n v="7.4669385081708191"/>
  </r>
  <r>
    <n v="1121977"/>
    <s v="Campanha C"/>
    <x v="1"/>
    <x v="1"/>
    <x v="4"/>
    <n v="139596"/>
    <n v="26"/>
    <n v="42.410000320000002"/>
    <n v="2"/>
    <n v="170"/>
    <n v="127.58999968000001"/>
    <n v="1.8625175506461504E-4"/>
    <n v="0.08"/>
    <n v="1.6311538584615386"/>
    <n v="21.205000160000001"/>
    <n v="3.0084885337723102"/>
  </r>
  <r>
    <n v="1121983"/>
    <s v="Campanha C"/>
    <x v="1"/>
    <x v="1"/>
    <x v="8"/>
    <n v="105399"/>
    <n v="22"/>
    <n v="33.199999329999997"/>
    <n v="3"/>
    <n v="255"/>
    <n v="221.80000067"/>
    <n v="2.0873063311796126E-4"/>
    <n v="0.14000000000000001"/>
    <n v="1.5090908786363635"/>
    <n v="11.066666443333332"/>
    <n v="6.6807230465688088"/>
  </r>
  <r>
    <n v="1121994"/>
    <s v="Campanha C"/>
    <x v="1"/>
    <x v="1"/>
    <x v="11"/>
    <n v="222378"/>
    <n v="50"/>
    <n v="72.910001039999997"/>
    <n v="0"/>
    <n v="0"/>
    <n v="-72.910001039999997"/>
    <n v="2.2484238548777308E-4"/>
    <n v="0"/>
    <n v="1.4582000207999999"/>
    <n v="0"/>
    <n v="-1"/>
  </r>
  <r>
    <n v="1122003"/>
    <s v="Campanha C"/>
    <x v="1"/>
    <x v="1"/>
    <x v="13"/>
    <n v="975792"/>
    <n v="210"/>
    <n v="293.88000110000002"/>
    <n v="10"/>
    <n v="850"/>
    <n v="556.11999889999993"/>
    <n v="2.1520979880958237E-4"/>
    <n v="0.05"/>
    <n v="1.3994285766666668"/>
    <n v="29.38800011"/>
    <n v="1.8923369974766204"/>
  </r>
  <r>
    <n v="1122004"/>
    <s v="Campanha C"/>
    <x v="1"/>
    <x v="1"/>
    <x v="13"/>
    <n v="579150"/>
    <n v="125"/>
    <n v="167.0499997"/>
    <n v="6"/>
    <n v="510"/>
    <n v="342.9500003"/>
    <n v="2.1583354916688251E-4"/>
    <n v="0.05"/>
    <n v="1.3363999976000001"/>
    <n v="27.841666616666668"/>
    <n v="2.0529781557371654"/>
  </r>
  <r>
    <n v="1122005"/>
    <s v="Campanha C"/>
    <x v="1"/>
    <x v="1"/>
    <x v="13"/>
    <n v="449588"/>
    <n v="81"/>
    <n v="123.80000099999999"/>
    <n v="9"/>
    <n v="765"/>
    <n v="641.19999900000005"/>
    <n v="1.8016495102182443E-4"/>
    <n v="0.11"/>
    <n v="1.5283950740740739"/>
    <n v="13.755555666666666"/>
    <n v="5.1793214363544315"/>
  </r>
  <r>
    <n v="1122006"/>
    <s v="Campanha C"/>
    <x v="1"/>
    <x v="1"/>
    <x v="13"/>
    <n v="318157"/>
    <n v="56"/>
    <n v="85.700001959999994"/>
    <n v="0"/>
    <n v="0"/>
    <n v="-85.700001959999994"/>
    <n v="1.7601372907086752E-4"/>
    <n v="0"/>
    <n v="1.5303571778571428"/>
    <n v="0"/>
    <n v="-1"/>
  </r>
  <r>
    <n v="1122007"/>
    <s v="Campanha C"/>
    <x v="1"/>
    <x v="1"/>
    <x v="13"/>
    <n v="196967"/>
    <n v="43"/>
    <n v="65.179999710000004"/>
    <n v="5"/>
    <n v="425"/>
    <n v="359.82000029"/>
    <n v="2.1831068148471571E-4"/>
    <n v="0.12"/>
    <n v="1.5158139467441862"/>
    <n v="13.035999942"/>
    <n v="5.5204050612291722"/>
  </r>
  <r>
    <n v="1122011"/>
    <s v="Campanha C"/>
    <x v="1"/>
    <x v="1"/>
    <x v="21"/>
    <n v="158298"/>
    <n v="37"/>
    <n v="46.430000069999998"/>
    <n v="7"/>
    <n v="595"/>
    <n v="548.56999992999999"/>
    <n v="2.3373637064271185E-4"/>
    <n v="0.19"/>
    <n v="1.2548648667567568"/>
    <n v="6.6328571528571425"/>
    <n v="11.814990288670057"/>
  </r>
  <r>
    <n v="1122012"/>
    <s v="Campanha C"/>
    <x v="1"/>
    <x v="1"/>
    <x v="21"/>
    <n v="222739"/>
    <n v="55"/>
    <n v="68.559999590000004"/>
    <n v="6"/>
    <n v="510"/>
    <n v="441.44000040999998"/>
    <n v="2.4692577411230182E-4"/>
    <n v="0.11"/>
    <n v="1.2465454470909092"/>
    <n v="11.426666598333334"/>
    <n v="6.4387398344498727"/>
  </r>
  <r>
    <n v="1122022"/>
    <s v="Campanha C"/>
    <x v="1"/>
    <x v="1"/>
    <x v="23"/>
    <n v="20780"/>
    <n v="5"/>
    <n v="8.1899999379999997"/>
    <n v="0"/>
    <n v="0"/>
    <n v="-8.1899999379999997"/>
    <n v="2.4061597690086623E-4"/>
    <n v="0"/>
    <n v="1.6379999876"/>
    <n v="0"/>
    <n v="-1"/>
  </r>
  <r>
    <n v="1122027"/>
    <s v="Campanha C"/>
    <x v="1"/>
    <x v="1"/>
    <x v="7"/>
    <n v="128616"/>
    <n v="33"/>
    <n v="48.549999479999997"/>
    <n v="3"/>
    <n v="255"/>
    <n v="206.45000052"/>
    <n v="2.5657771972382906E-4"/>
    <n v="0.09"/>
    <n v="1.4712121054545453"/>
    <n v="16.18333316"/>
    <n v="4.25231725501967"/>
  </r>
  <r>
    <n v="1122039"/>
    <s v="Campanha C"/>
    <x v="2"/>
    <x v="1"/>
    <x v="16"/>
    <n v="258954"/>
    <n v="61"/>
    <n v="82.279999020000005"/>
    <n v="3"/>
    <n v="255"/>
    <n v="172.72000098000001"/>
    <n v="2.3556307297821233E-4"/>
    <n v="0.05"/>
    <n v="1.3488524429508197"/>
    <n v="27.426666340000001"/>
    <n v="2.0991735906318683"/>
  </r>
  <r>
    <n v="1122040"/>
    <s v="Campanha C"/>
    <x v="2"/>
    <x v="1"/>
    <x v="16"/>
    <n v="205289"/>
    <n v="48"/>
    <n v="71.530001040000002"/>
    <n v="2"/>
    <n v="170"/>
    <n v="98.469998959999998"/>
    <n v="2.3381671692102352E-4"/>
    <n v="0.04"/>
    <n v="1.490208355"/>
    <n v="35.765000520000001"/>
    <n v="1.3766251576724429"/>
  </r>
  <r>
    <n v="1122041"/>
    <s v="Campanha C"/>
    <x v="2"/>
    <x v="1"/>
    <x v="16"/>
    <n v="611601"/>
    <n v="138"/>
    <n v="191.419996"/>
    <n v="11"/>
    <n v="935"/>
    <n v="743.58000400000003"/>
    <n v="2.2563730275130354E-4"/>
    <n v="0.08"/>
    <n v="1.3871014202898551"/>
    <n v="17.401817818181819"/>
    <n v="3.8845471713414939"/>
  </r>
  <r>
    <n v="1122043"/>
    <s v="Campanha C"/>
    <x v="2"/>
    <x v="1"/>
    <x v="16"/>
    <n v="947657"/>
    <n v="233"/>
    <n v="321.87000039999998"/>
    <n v="11"/>
    <n v="935"/>
    <n v="613.12999960000002"/>
    <n v="2.4586954984767695E-4"/>
    <n v="0.05"/>
    <n v="1.3814163107296136"/>
    <n v="29.260909127272726"/>
    <n v="1.9048994899743383"/>
  </r>
  <r>
    <n v="1122044"/>
    <s v="Campanha C"/>
    <x v="2"/>
    <x v="1"/>
    <x v="16"/>
    <n v="233043"/>
    <n v="49"/>
    <n v="65.030000329999993"/>
    <n v="2"/>
    <n v="170"/>
    <n v="104.96999967000001"/>
    <n v="2.1026162553691808E-4"/>
    <n v="0.04"/>
    <n v="1.3271428638775509"/>
    <n v="32.515000164999996"/>
    <n v="1.6141780583933762"/>
  </r>
  <r>
    <n v="1122047"/>
    <s v="Campanha C"/>
    <x v="2"/>
    <x v="1"/>
    <x v="0"/>
    <n v="582725"/>
    <n v="142"/>
    <n v="194.80999879999999"/>
    <n v="11"/>
    <n v="935"/>
    <n v="740.19000119999998"/>
    <n v="2.4368269767042773E-4"/>
    <n v="0.08"/>
    <n v="1.3719013999999998"/>
    <n v="17.709999890909089"/>
    <n v="3.799548307373636"/>
  </r>
  <r>
    <n v="1122052"/>
    <s v="Campanha C"/>
    <x v="2"/>
    <x v="1"/>
    <x v="1"/>
    <n v="265038"/>
    <n v="51"/>
    <n v="78.459999319999994"/>
    <n v="2"/>
    <n v="170"/>
    <n v="91.540000680000006"/>
    <n v="1.9242523713580695E-4"/>
    <n v="0.04"/>
    <n v="1.5384313592156862"/>
    <n v="39.229999659999997"/>
    <n v="1.1667091699383412"/>
  </r>
  <r>
    <n v="1122054"/>
    <s v="Campanha C"/>
    <x v="2"/>
    <x v="1"/>
    <x v="1"/>
    <n v="222273"/>
    <n v="39"/>
    <n v="53.62999868"/>
    <n v="9"/>
    <n v="765"/>
    <n v="711.37000132000003"/>
    <n v="1.7545990741115654E-4"/>
    <n v="0.23"/>
    <n v="1.3751281712820513"/>
    <n v="5.9588887422222223"/>
    <n v="13.264404602442927"/>
  </r>
  <r>
    <n v="1122055"/>
    <s v="Campanha C"/>
    <x v="2"/>
    <x v="1"/>
    <x v="1"/>
    <n v="797234"/>
    <n v="170"/>
    <n v="243.7699978"/>
    <n v="5"/>
    <n v="425"/>
    <n v="181.2300022"/>
    <n v="2.1323726785360384E-4"/>
    <n v="0.03"/>
    <n v="1.4339411635294117"/>
    <n v="48.753999559999997"/>
    <n v="0.74344670728794671"/>
  </r>
  <r>
    <n v="1122056"/>
    <s v="Campanha C"/>
    <x v="2"/>
    <x v="1"/>
    <x v="1"/>
    <n v="925555"/>
    <n v="182"/>
    <n v="262.88999810000001"/>
    <n v="4"/>
    <n v="340"/>
    <n v="77.110001899999986"/>
    <n v="1.9663877349266115E-4"/>
    <n v="0.02"/>
    <n v="1.4444505390109892"/>
    <n v="65.722499525000003"/>
    <n v="0.29331660564228967"/>
  </r>
  <r>
    <n v="1122058"/>
    <s v="Campanha C"/>
    <x v="2"/>
    <x v="1"/>
    <x v="12"/>
    <n v="22210"/>
    <n v="3"/>
    <n v="4.0500001909999996"/>
    <n v="0"/>
    <n v="0"/>
    <n v="-4.0500001909999996"/>
    <n v="1.3507429085997299E-4"/>
    <n v="0"/>
    <n v="1.3500000636666665"/>
    <n v="0"/>
    <n v="-1"/>
  </r>
  <r>
    <n v="1122075"/>
    <s v="Campanha C"/>
    <x v="2"/>
    <x v="1"/>
    <x v="10"/>
    <n v="46391"/>
    <n v="11"/>
    <n v="16.409999849999998"/>
    <n v="4"/>
    <n v="340"/>
    <n v="323.59000014999998"/>
    <n v="2.3711495764264619E-4"/>
    <n v="0.36"/>
    <n v="1.4918181681818181"/>
    <n v="4.1024999624999996"/>
    <n v="19.719073924915364"/>
  </r>
  <r>
    <n v="1122078"/>
    <s v="Campanha C"/>
    <x v="2"/>
    <x v="1"/>
    <x v="10"/>
    <n v="190477"/>
    <n v="42"/>
    <n v="66.389999869999997"/>
    <n v="0"/>
    <n v="0"/>
    <n v="-66.389999869999997"/>
    <n v="2.2049906287898276E-4"/>
    <n v="0"/>
    <n v="1.5807142826190475"/>
    <n v="0"/>
    <n v="-1"/>
  </r>
  <r>
    <n v="1122079"/>
    <s v="Campanha C"/>
    <x v="2"/>
    <x v="1"/>
    <x v="10"/>
    <n v="25382"/>
    <n v="7"/>
    <n v="9.6099998949999996"/>
    <n v="1"/>
    <n v="85"/>
    <n v="75.390000104999999"/>
    <n v="2.7578599007170438E-4"/>
    <n v="0.14000000000000001"/>
    <n v="1.3728571278571429"/>
    <n v="9.6099998949999996"/>
    <n v="7.8449532704183245"/>
  </r>
  <r>
    <n v="1122085"/>
    <s v="Campanha C"/>
    <x v="2"/>
    <x v="1"/>
    <x v="22"/>
    <n v="65726"/>
    <n v="17"/>
    <n v="22.12000012"/>
    <n v="0"/>
    <n v="0"/>
    <n v="-22.12000012"/>
    <n v="2.5864954508109426E-4"/>
    <n v="0"/>
    <n v="1.3011764776470589"/>
    <n v="0"/>
    <n v="-1"/>
  </r>
  <r>
    <n v="1122089"/>
    <s v="Campanha C"/>
    <x v="2"/>
    <x v="1"/>
    <x v="20"/>
    <n v="195220"/>
    <n v="51"/>
    <n v="78.060000419999994"/>
    <n v="0"/>
    <n v="0"/>
    <n v="-78.060000419999994"/>
    <n v="2.6124372502817333E-4"/>
    <n v="0"/>
    <n v="1.5305882435294116"/>
    <n v="0"/>
    <n v="-1"/>
  </r>
  <r>
    <n v="1122092"/>
    <s v="Campanha C"/>
    <x v="2"/>
    <x v="1"/>
    <x v="20"/>
    <n v="107501"/>
    <n v="27"/>
    <n v="40.87999928"/>
    <n v="0"/>
    <n v="0"/>
    <n v="-40.87999928"/>
    <n v="2.5116045432135517E-4"/>
    <n v="0"/>
    <n v="1.5140740474074075"/>
    <n v="0"/>
    <n v="-1"/>
  </r>
  <r>
    <n v="1122101"/>
    <s v="Campanha C"/>
    <x v="2"/>
    <x v="1"/>
    <x v="15"/>
    <n v="197772"/>
    <n v="63"/>
    <n v="88.210000160000007"/>
    <n v="9"/>
    <n v="765"/>
    <n v="676.78999983999995"/>
    <n v="3.1854863175778171E-4"/>
    <n v="0.14000000000000001"/>
    <n v="1.4001587326984128"/>
    <n v="9.8011111288888895"/>
    <n v="7.6724860969550175"/>
  </r>
  <r>
    <n v="1122102"/>
    <s v="Campanha C"/>
    <x v="2"/>
    <x v="1"/>
    <x v="15"/>
    <n v="138154"/>
    <n v="35"/>
    <n v="48.939998629999998"/>
    <n v="2"/>
    <n v="170"/>
    <n v="121.06000137000001"/>
    <n v="2.5334047512196533E-4"/>
    <n v="0.06"/>
    <n v="1.3982856751428572"/>
    <n v="24.469999314999999"/>
    <n v="2.4736412905371594"/>
  </r>
  <r>
    <n v="1122103"/>
    <s v="Campanha C"/>
    <x v="2"/>
    <x v="1"/>
    <x v="15"/>
    <n v="270124"/>
    <n v="69"/>
    <n v="95.84999895"/>
    <n v="2"/>
    <n v="170"/>
    <n v="74.15000105"/>
    <n v="2.5543824317720751E-4"/>
    <n v="0.03"/>
    <n v="1.3891304195652174"/>
    <n v="47.924999475"/>
    <n v="0.77360460993515745"/>
  </r>
  <r>
    <n v="1122105"/>
    <s v="Campanha C"/>
    <x v="2"/>
    <x v="1"/>
    <x v="18"/>
    <n v="303971"/>
    <n v="77"/>
    <n v="106.9299998"/>
    <n v="17"/>
    <n v="1445"/>
    <n v="1338.0700002000001"/>
    <n v="2.5331363847209108E-4"/>
    <n v="0.22"/>
    <n v="1.3887012961038963"/>
    <n v="6.2899999882352944"/>
    <n v="12.513513538788953"/>
  </r>
  <r>
    <n v="1122107"/>
    <s v="Campanha C"/>
    <x v="2"/>
    <x v="1"/>
    <x v="18"/>
    <n v="682046"/>
    <n v="183"/>
    <n v="254.419997"/>
    <n v="2"/>
    <n v="170"/>
    <n v="-84.419996999999995"/>
    <n v="2.6831034856886486E-4"/>
    <n v="0.01"/>
    <n v="1.3902732076502733"/>
    <n v="127.2099985"/>
    <n v="-0.33181352879270726"/>
  </r>
  <r>
    <n v="1122109"/>
    <s v="Campanha C"/>
    <x v="2"/>
    <x v="1"/>
    <x v="18"/>
    <n v="328365"/>
    <n v="83"/>
    <n v="117.3400005"/>
    <n v="8"/>
    <n v="680"/>
    <n v="562.65999950000003"/>
    <n v="2.5276749958125867E-4"/>
    <n v="0.1"/>
    <n v="1.4137349457831325"/>
    <n v="14.6675000625"/>
    <n v="4.7951252522791661"/>
  </r>
  <r>
    <n v="1122112"/>
    <s v="Campanha C"/>
    <x v="2"/>
    <x v="1"/>
    <x v="5"/>
    <n v="1083259"/>
    <n v="276"/>
    <n v="390.25999919999998"/>
    <n v="8"/>
    <n v="680"/>
    <n v="289.74000080000002"/>
    <n v="2.5478671305754211E-4"/>
    <n v="0.03"/>
    <n v="1.413985504347826"/>
    <n v="48.782499899999998"/>
    <n v="0.74242812841168071"/>
  </r>
  <r>
    <n v="1122113"/>
    <s v="Campanha C"/>
    <x v="2"/>
    <x v="1"/>
    <x v="5"/>
    <n v="913929"/>
    <n v="245"/>
    <n v="340.40999929999998"/>
    <n v="10"/>
    <n v="850"/>
    <n v="509.59000070000002"/>
    <n v="2.6807334048925026E-4"/>
    <n v="0.04"/>
    <n v="1.3894285685714285"/>
    <n v="34.040999929999998"/>
    <n v="1.4969889302543764"/>
  </r>
  <r>
    <n v="1122118"/>
    <s v="Campanha C"/>
    <x v="2"/>
    <x v="1"/>
    <x v="3"/>
    <n v="101586"/>
    <n v="24"/>
    <n v="33.470000390000003"/>
    <n v="3"/>
    <n v="255"/>
    <n v="221.52999961"/>
    <n v="2.3625302699190835E-4"/>
    <n v="0.13"/>
    <n v="1.3945833495833335"/>
    <n v="11.156666796666668"/>
    <n v="6.6187629826316829"/>
  </r>
  <r>
    <n v="1122120"/>
    <s v="Campanha C"/>
    <x v="2"/>
    <x v="1"/>
    <x v="3"/>
    <n v="181053"/>
    <n v="46"/>
    <n v="66.279999849999996"/>
    <n v="5"/>
    <n v="425"/>
    <n v="358.72000015000003"/>
    <n v="2.5406925044047874E-4"/>
    <n v="0.11"/>
    <n v="1.4408695619565217"/>
    <n v="13.25599997"/>
    <n v="5.4121907206069499"/>
  </r>
  <r>
    <n v="1122121"/>
    <s v="Campanha C"/>
    <x v="2"/>
    <x v="1"/>
    <x v="3"/>
    <n v="133419"/>
    <n v="35"/>
    <n v="48.180000069999998"/>
    <n v="8"/>
    <n v="680"/>
    <n v="631.81999992999999"/>
    <n v="2.6233145204206299E-4"/>
    <n v="0.23"/>
    <n v="1.3765714305714285"/>
    <n v="6.0225000087499998"/>
    <n v="13.113740120631761"/>
  </r>
  <r>
    <n v="1122125"/>
    <s v="Campanha C"/>
    <x v="2"/>
    <x v="1"/>
    <x v="4"/>
    <n v="489573"/>
    <n v="113"/>
    <n v="156.11999929999999"/>
    <n v="6"/>
    <n v="510"/>
    <n v="353.88000069999998"/>
    <n v="2.3081338227394076E-4"/>
    <n v="0.05"/>
    <n v="1.381592914159292"/>
    <n v="26.01999988333333"/>
    <n v="2.2667179239476209"/>
  </r>
  <r>
    <n v="1122127"/>
    <s v="Campanha C"/>
    <x v="2"/>
    <x v="1"/>
    <x v="4"/>
    <n v="822023"/>
    <n v="194"/>
    <n v="288.33000349999998"/>
    <n v="7"/>
    <n v="595"/>
    <n v="306.66999650000002"/>
    <n v="2.3600312886622394E-4"/>
    <n v="0.04"/>
    <n v="1.4862371314432989"/>
    <n v="41.190000499999996"/>
    <n v="1.0636076467151294"/>
  </r>
  <r>
    <n v="1122131"/>
    <s v="Campanha C"/>
    <x v="2"/>
    <x v="1"/>
    <x v="8"/>
    <n v="93176"/>
    <n v="29"/>
    <n v="40.370000240000003"/>
    <n v="3"/>
    <n v="255"/>
    <n v="214.62999976"/>
    <n v="3.1123894565124067E-4"/>
    <n v="0.1"/>
    <n v="1.3920689737931036"/>
    <n v="13.456666746666668"/>
    <n v="5.3165716741150062"/>
  </r>
  <r>
    <n v="1122138"/>
    <s v="Campanha C"/>
    <x v="2"/>
    <x v="1"/>
    <x v="6"/>
    <n v="47229"/>
    <n v="13"/>
    <n v="19.279999849999999"/>
    <n v="5"/>
    <n v="425"/>
    <n v="405.72000014999998"/>
    <n v="2.7525461051472613E-4"/>
    <n v="0.38"/>
    <n v="1.4830769115384614"/>
    <n v="3.8559999700000001"/>
    <n v="21.043568636231083"/>
  </r>
  <r>
    <n v="1122139"/>
    <s v="Campanha C"/>
    <x v="2"/>
    <x v="1"/>
    <x v="6"/>
    <n v="92263"/>
    <n v="24"/>
    <n v="34.030000149999999"/>
    <n v="3"/>
    <n v="255"/>
    <n v="220.96999984999999"/>
    <n v="2.6012594431137074E-4"/>
    <n v="0.13"/>
    <n v="1.4179166729166666"/>
    <n v="11.343333383333333"/>
    <n v="6.4933881538639957"/>
  </r>
  <r>
    <n v="1122140"/>
    <s v="Campanha C"/>
    <x v="2"/>
    <x v="1"/>
    <x v="6"/>
    <n v="81551"/>
    <n v="21"/>
    <n v="29.670000080000001"/>
    <n v="1"/>
    <n v="85"/>
    <n v="55.329999919999999"/>
    <n v="2.5750757194884183E-4"/>
    <n v="0.05"/>
    <n v="1.4128571466666666"/>
    <n v="29.670000080000001"/>
    <n v="1.8648466387196585"/>
  </r>
  <r>
    <n v="1122145"/>
    <s v="Campanha C"/>
    <x v="2"/>
    <x v="1"/>
    <x v="11"/>
    <n v="141037"/>
    <n v="32"/>
    <n v="47.789999129999998"/>
    <n v="3"/>
    <n v="255"/>
    <n v="207.21000086999999"/>
    <n v="2.2689081588519325E-4"/>
    <n v="0.09"/>
    <n v="1.4934374728124999"/>
    <n v="15.929999709999999"/>
    <n v="4.3358444160323213"/>
  </r>
  <r>
    <n v="1122146"/>
    <s v="Campanha C"/>
    <x v="2"/>
    <x v="1"/>
    <x v="11"/>
    <n v="319501"/>
    <n v="79"/>
    <n v="111.6500003"/>
    <n v="1"/>
    <n v="85"/>
    <n v="-26.650000300000002"/>
    <n v="2.4726057195439136E-4"/>
    <n v="0.01"/>
    <n v="1.4132911430379747"/>
    <n v="111.6500003"/>
    <n v="-0.23869234418622748"/>
  </r>
  <r>
    <n v="1122149"/>
    <s v="Campanha C"/>
    <x v="2"/>
    <x v="1"/>
    <x v="19"/>
    <n v="72741"/>
    <n v="19"/>
    <n v="24.330000160000001"/>
    <n v="1"/>
    <n v="85"/>
    <n v="60.669999840000003"/>
    <n v="2.6120069836818301E-4"/>
    <n v="0.05"/>
    <n v="1.2805263242105263"/>
    <n v="24.330000160000001"/>
    <n v="2.4936292413078225"/>
  </r>
  <r>
    <n v="1122154"/>
    <s v="Campanha C"/>
    <x v="2"/>
    <x v="1"/>
    <x v="13"/>
    <n v="597419"/>
    <n v="135"/>
    <n v="188.51000020000001"/>
    <n v="3"/>
    <n v="255"/>
    <n v="66.489999799999993"/>
    <n v="2.2597205646288451E-4"/>
    <n v="0.02"/>
    <n v="1.3963703718518519"/>
    <n v="62.836666733333338"/>
    <n v="0.35271338247019951"/>
  </r>
  <r>
    <n v="1122157"/>
    <s v="Campanha C"/>
    <x v="2"/>
    <x v="1"/>
    <x v="13"/>
    <n v="98768"/>
    <n v="21"/>
    <n v="33.14000034"/>
    <n v="1"/>
    <n v="85"/>
    <n v="51.85999966"/>
    <n v="2.1261947189373076E-4"/>
    <n v="0.05"/>
    <n v="1.5780952542857143"/>
    <n v="33.14000034"/>
    <n v="1.5648762561237801"/>
  </r>
  <r>
    <n v="1122160"/>
    <s v="Campanha C"/>
    <x v="2"/>
    <x v="1"/>
    <x v="21"/>
    <n v="173165"/>
    <n v="41"/>
    <n v="59.850000260000002"/>
    <n v="4"/>
    <n v="340"/>
    <n v="280.14999974"/>
    <n v="2.3676840008084776E-4"/>
    <n v="0.1"/>
    <n v="1.4597561039024392"/>
    <n v="14.962500065"/>
    <n v="4.6808688140847803"/>
  </r>
  <r>
    <n v="1122165"/>
    <s v="Campanha C"/>
    <x v="2"/>
    <x v="1"/>
    <x v="14"/>
    <n v="55823"/>
    <n v="13"/>
    <n v="21.10999966"/>
    <n v="2"/>
    <n v="170"/>
    <n v="148.89000034"/>
    <n v="2.328789208749082E-4"/>
    <n v="0.15"/>
    <n v="1.6238461276923077"/>
    <n v="10.55499983"/>
    <n v="7.0530555536730883"/>
  </r>
  <r>
    <n v="1122166"/>
    <s v="Campanha C"/>
    <x v="2"/>
    <x v="1"/>
    <x v="14"/>
    <n v="118451"/>
    <n v="28"/>
    <n v="38.350000620000003"/>
    <n v="9"/>
    <n v="765"/>
    <n v="726.64999938000005"/>
    <n v="2.3638466538906383E-4"/>
    <n v="0.32"/>
    <n v="1.3696428792857145"/>
    <n v="4.2611111800000003"/>
    <n v="18.947848438913532"/>
  </r>
  <r>
    <n v="1122176"/>
    <s v="Campanha C"/>
    <x v="2"/>
    <x v="1"/>
    <x v="23"/>
    <n v="74424"/>
    <n v="22"/>
    <n v="30.840000270000001"/>
    <n v="4"/>
    <n v="340"/>
    <n v="309.15999972999998"/>
    <n v="2.9560356874126624E-4"/>
    <n v="0.18"/>
    <n v="1.4018181940909091"/>
    <n v="7.7100000675000002"/>
    <n v="10.024643223843913"/>
  </r>
  <r>
    <n v="1122177"/>
    <s v="Campanha C"/>
    <x v="2"/>
    <x v="1"/>
    <x v="7"/>
    <n v="47929"/>
    <n v="12"/>
    <n v="14.58999991"/>
    <n v="0"/>
    <n v="0"/>
    <n v="-14.58999991"/>
    <n v="2.5037033946045191E-4"/>
    <n v="0"/>
    <n v="1.2158333258333334"/>
    <n v="0"/>
    <n v="-1"/>
  </r>
  <r>
    <n v="1122182"/>
    <s v="Campanha C"/>
    <x v="2"/>
    <x v="1"/>
    <x v="7"/>
    <n v="40801"/>
    <n v="12"/>
    <n v="15.91999972"/>
    <n v="5"/>
    <n v="425"/>
    <n v="409.08000027999998"/>
    <n v="2.9411043846964535E-4"/>
    <n v="0.42"/>
    <n v="1.3266666433333334"/>
    <n v="3.183999944"/>
    <n v="25.695980369024781"/>
  </r>
  <r>
    <n v="1122183"/>
    <s v="Campanha C"/>
    <x v="2"/>
    <x v="1"/>
    <x v="24"/>
    <n v="66017"/>
    <n v="17"/>
    <n v="24.220000150000001"/>
    <n v="2"/>
    <n v="170"/>
    <n v="145.77999985"/>
    <n v="2.5750942938939969E-4"/>
    <n v="0.12"/>
    <n v="1.4247058911764707"/>
    <n v="12.110000075"/>
    <n v="6.0189925246552898"/>
  </r>
  <r>
    <n v="1122189"/>
    <s v="Campanha C"/>
    <x v="3"/>
    <x v="1"/>
    <x v="16"/>
    <n v="725043"/>
    <n v="179"/>
    <n v="238.40000069999999"/>
    <n v="6"/>
    <n v="510"/>
    <n v="271.59999930000004"/>
    <n v="2.4688190907297912E-4"/>
    <n v="0.03"/>
    <n v="1.3318435793296088"/>
    <n v="39.733333449999996"/>
    <n v="1.1392617386850539"/>
  </r>
  <r>
    <n v="1122191"/>
    <s v="Campanha C"/>
    <x v="3"/>
    <x v="1"/>
    <x v="16"/>
    <n v="382776"/>
    <n v="97"/>
    <n v="132.73000070000001"/>
    <n v="9"/>
    <n v="765"/>
    <n v="632.26999929999999"/>
    <n v="2.5341191715259057E-4"/>
    <n v="0.09"/>
    <n v="1.3683505226804125"/>
    <n v="14.747777855555556"/>
    <n v="4.7635801700105018"/>
  </r>
  <r>
    <n v="1122192"/>
    <s v="Campanha C"/>
    <x v="3"/>
    <x v="1"/>
    <x v="16"/>
    <n v="548250"/>
    <n v="137"/>
    <n v="201.6000042"/>
    <n v="7"/>
    <n v="595"/>
    <n v="393.3999958"/>
    <n v="2.498860009119927E-4"/>
    <n v="0.05"/>
    <n v="1.4715328773722627"/>
    <n v="28.800000600000001"/>
    <n v="1.9513888274016216"/>
  </r>
  <r>
    <n v="1122193"/>
    <s v="Campanha C"/>
    <x v="3"/>
    <x v="1"/>
    <x v="16"/>
    <n v="1358324"/>
    <n v="346"/>
    <n v="465.07999810000001"/>
    <n v="8"/>
    <n v="680"/>
    <n v="214.92000189999999"/>
    <n v="2.5472567664268613E-4"/>
    <n v="0.02"/>
    <n v="1.3441618442196532"/>
    <n v="58.134999762500001"/>
    <n v="0.46211405086870361"/>
  </r>
  <r>
    <n v="1122197"/>
    <s v="Campanha C"/>
    <x v="3"/>
    <x v="1"/>
    <x v="0"/>
    <n v="662249"/>
    <n v="163"/>
    <n v="234.93999919999999"/>
    <n v="3"/>
    <n v="255"/>
    <n v="20.060000800000012"/>
    <n v="2.4613098698525779E-4"/>
    <n v="0.02"/>
    <n v="1.4413496883435581"/>
    <n v="78.313333066666658"/>
    <n v="8.538350586663325E-2"/>
  </r>
  <r>
    <n v="1122200"/>
    <s v="Campanha C"/>
    <x v="3"/>
    <x v="1"/>
    <x v="0"/>
    <n v="559554"/>
    <n v="139"/>
    <n v="195.07999939999999"/>
    <n v="2"/>
    <n v="170"/>
    <n v="-25.079999399999991"/>
    <n v="2.4841212823069803E-4"/>
    <n v="0.01"/>
    <n v="1.4034532330935252"/>
    <n v="97.539999699999996"/>
    <n v="-0.1285626382875619"/>
  </r>
  <r>
    <n v="1122201"/>
    <s v="Campanha C"/>
    <x v="3"/>
    <x v="1"/>
    <x v="1"/>
    <n v="320757"/>
    <n v="68"/>
    <n v="104.68999890000001"/>
    <n v="2"/>
    <n v="170"/>
    <n v="65.310001099999994"/>
    <n v="2.1199849106956357E-4"/>
    <n v="0.03"/>
    <n v="1.5395588073529414"/>
    <n v="52.344999450000003"/>
    <n v="0.62384183576488694"/>
  </r>
  <r>
    <n v="1122202"/>
    <s v="Campanha C"/>
    <x v="3"/>
    <x v="1"/>
    <x v="1"/>
    <n v="906151"/>
    <n v="202"/>
    <n v="295.54999570000001"/>
    <n v="1"/>
    <n v="85"/>
    <n v="-210.54999570000001"/>
    <n v="2.2292090391115829E-4"/>
    <n v="0"/>
    <n v="1.4631187905940595"/>
    <n v="295.54999570000001"/>
    <n v="-0.71240060484967893"/>
  </r>
  <r>
    <n v="1122203"/>
    <s v="Campanha C"/>
    <x v="3"/>
    <x v="1"/>
    <x v="1"/>
    <n v="699314"/>
    <n v="164"/>
    <n v="226.0300014"/>
    <n v="3"/>
    <n v="255"/>
    <n v="28.969998599999997"/>
    <n v="2.3451553951443844E-4"/>
    <n v="0.02"/>
    <n v="1.3782317158536586"/>
    <n v="75.343333799999996"/>
    <n v="0.12816882015911008"/>
  </r>
  <r>
    <n v="1122204"/>
    <s v="Campanha C"/>
    <x v="3"/>
    <x v="1"/>
    <x v="1"/>
    <n v="850337"/>
    <n v="198"/>
    <n v="287.69000299999999"/>
    <n v="4"/>
    <n v="340"/>
    <n v="52.30999700000001"/>
    <n v="2.3284885874659105E-4"/>
    <n v="0.02"/>
    <n v="1.4529798131313132"/>
    <n v="71.922500749999998"/>
    <n v="0.18182764939524163"/>
  </r>
  <r>
    <n v="1122205"/>
    <s v="Campanha C"/>
    <x v="3"/>
    <x v="1"/>
    <x v="1"/>
    <n v="1015460"/>
    <n v="247"/>
    <n v="315.90000509999999"/>
    <n v="14"/>
    <n v="1190"/>
    <n v="874.09999489999996"/>
    <n v="2.4323951706615722E-4"/>
    <n v="0.06"/>
    <n v="1.2789473890688259"/>
    <n v="22.564286078571428"/>
    <n v="2.7670148173099856"/>
  </r>
  <r>
    <n v="1122209"/>
    <s v="Campanha C"/>
    <x v="3"/>
    <x v="1"/>
    <x v="12"/>
    <n v="890295"/>
    <n v="227"/>
    <n v="332.98999889999999"/>
    <n v="0"/>
    <n v="0"/>
    <n v="-332.98999889999999"/>
    <n v="2.5497166669474726E-4"/>
    <n v="0"/>
    <n v="1.4669162947136563"/>
    <n v="0"/>
    <n v="-1"/>
  </r>
  <r>
    <n v="1122210"/>
    <s v="Campanha C"/>
    <x v="3"/>
    <x v="1"/>
    <x v="12"/>
    <n v="791817"/>
    <n v="194"/>
    <n v="282.49000100000001"/>
    <n v="11"/>
    <n v="935"/>
    <n v="652.50999899999999"/>
    <n v="2.4500610620888411E-4"/>
    <n v="0.06"/>
    <n v="1.4561340257731958"/>
    <n v="25.680909181818183"/>
    <n v="2.3098516644488241"/>
  </r>
  <r>
    <n v="1122211"/>
    <s v="Campanha C"/>
    <x v="3"/>
    <x v="1"/>
    <x v="12"/>
    <n v="317601"/>
    <n v="76"/>
    <n v="115.66000080000001"/>
    <n v="0"/>
    <n v="0"/>
    <n v="-115.66000080000001"/>
    <n v="2.3929395688300731E-4"/>
    <n v="0"/>
    <n v="1.5218421157894737"/>
    <n v="0"/>
    <n v="-1"/>
  </r>
  <r>
    <n v="1122212"/>
    <s v="Campanha C"/>
    <x v="3"/>
    <x v="1"/>
    <x v="12"/>
    <n v="685211"/>
    <n v="164"/>
    <n v="247.32000260000001"/>
    <n v="8"/>
    <n v="680"/>
    <n v="432.67999739999999"/>
    <n v="2.3934233396720133E-4"/>
    <n v="0.05"/>
    <n v="1.5080487963414635"/>
    <n v="30.915000325000001"/>
    <n v="1.749474336290501"/>
  </r>
  <r>
    <n v="1122213"/>
    <s v="Campanha C"/>
    <x v="3"/>
    <x v="1"/>
    <x v="17"/>
    <n v="32781"/>
    <n v="7"/>
    <n v="11.200000169999999"/>
    <n v="7"/>
    <n v="595"/>
    <n v="583.79999983000005"/>
    <n v="2.1353833013025838E-4"/>
    <n v="1"/>
    <n v="1.6000000242857142"/>
    <n v="1.6000000242857142"/>
    <n v="52.124999193638416"/>
  </r>
  <r>
    <n v="1122216"/>
    <s v="Campanha C"/>
    <x v="3"/>
    <x v="1"/>
    <x v="17"/>
    <n v="76785"/>
    <n v="19"/>
    <n v="25.459999979999999"/>
    <n v="4"/>
    <n v="340"/>
    <n v="314.54000001999998"/>
    <n v="2.4744416227127697E-4"/>
    <n v="0.21"/>
    <n v="1.3399999989473683"/>
    <n v="6.3649999949999998"/>
    <n v="12.354281235942089"/>
  </r>
  <r>
    <n v="1122217"/>
    <s v="Campanha C"/>
    <x v="3"/>
    <x v="1"/>
    <x v="17"/>
    <n v="719083"/>
    <n v="206"/>
    <n v="299.52999829999999"/>
    <n v="14"/>
    <n v="1190"/>
    <n v="890.47000170000001"/>
    <n v="2.8647597008968367E-4"/>
    <n v="7.0000000000000007E-2"/>
    <n v="1.4540291179611651"/>
    <n v="21.394999878571429"/>
    <n v="2.9728908848993907"/>
  </r>
  <r>
    <n v="1122223"/>
    <s v="Campanha C"/>
    <x v="3"/>
    <x v="1"/>
    <x v="2"/>
    <n v="368480"/>
    <n v="107"/>
    <n v="140.42000110000001"/>
    <n v="5"/>
    <n v="425"/>
    <n v="284.57999889999996"/>
    <n v="2.9038211029092488E-4"/>
    <n v="0.05"/>
    <n v="1.3123364588785047"/>
    <n v="28.08400022"/>
    <n v="2.0266343588570157"/>
  </r>
  <r>
    <n v="1122224"/>
    <s v="Campanha C"/>
    <x v="3"/>
    <x v="1"/>
    <x v="2"/>
    <n v="260945"/>
    <n v="73"/>
    <n v="100.8800011"/>
    <n v="5"/>
    <n v="425"/>
    <n v="324.11999889999998"/>
    <n v="2.7975243825327175E-4"/>
    <n v="7.0000000000000007E-2"/>
    <n v="1.3819178232876712"/>
    <n v="20.176000219999999"/>
    <n v="3.2129262030707886"/>
  </r>
  <r>
    <n v="1122225"/>
    <s v="Campanha C"/>
    <x v="3"/>
    <x v="1"/>
    <x v="10"/>
    <n v="40998"/>
    <n v="10"/>
    <n v="13.350000380000001"/>
    <n v="1"/>
    <n v="85"/>
    <n v="71.649999620000003"/>
    <n v="2.4391433728474559E-4"/>
    <n v="0.1"/>
    <n v="1.335000038"/>
    <n v="13.350000380000001"/>
    <n v="5.3670410172677459"/>
  </r>
  <r>
    <n v="1122227"/>
    <s v="Campanha C"/>
    <x v="3"/>
    <x v="1"/>
    <x v="10"/>
    <n v="183293"/>
    <n v="53"/>
    <n v="73.749999639999999"/>
    <n v="2"/>
    <n v="170"/>
    <n v="96.250000360000001"/>
    <n v="2.8915452308598801E-4"/>
    <n v="0.04"/>
    <n v="1.3915094271698112"/>
    <n v="36.874999819999999"/>
    <n v="1.3050847570146511"/>
  </r>
  <r>
    <n v="1122232"/>
    <s v="Campanha C"/>
    <x v="3"/>
    <x v="1"/>
    <x v="22"/>
    <n v="221561"/>
    <n v="55"/>
    <n v="76.759999160000007"/>
    <n v="4"/>
    <n v="340"/>
    <n v="263.24000083999999"/>
    <n v="2.4823863405563256E-4"/>
    <n v="7.0000000000000007E-2"/>
    <n v="1.3956363483636365"/>
    <n v="19.189999790000002"/>
    <n v="3.4293903559235002"/>
  </r>
  <r>
    <n v="1122233"/>
    <s v="Campanha C"/>
    <x v="3"/>
    <x v="1"/>
    <x v="22"/>
    <n v="436943"/>
    <n v="109"/>
    <n v="145.81999740000001"/>
    <n v="0"/>
    <n v="0"/>
    <n v="-145.81999740000001"/>
    <n v="2.4946045594047734E-4"/>
    <n v="0"/>
    <n v="1.3377981412844038"/>
    <n v="0"/>
    <n v="-1"/>
  </r>
  <r>
    <n v="1122240"/>
    <s v="Campanha C"/>
    <x v="3"/>
    <x v="1"/>
    <x v="20"/>
    <n v="284488"/>
    <n v="90"/>
    <n v="125.2700011"/>
    <n v="4"/>
    <n v="340"/>
    <n v="214.7299989"/>
    <n v="3.163578077106943E-4"/>
    <n v="0.04"/>
    <n v="1.3918889011111111"/>
    <n v="31.317500275"/>
    <n v="1.7141374392468174"/>
  </r>
  <r>
    <n v="1122244"/>
    <s v="Campanha C"/>
    <x v="3"/>
    <x v="1"/>
    <x v="9"/>
    <n v="85083"/>
    <n v="32"/>
    <n v="38.629999759999997"/>
    <n v="3"/>
    <n v="255"/>
    <n v="216.37000024"/>
    <n v="3.7610333439112398E-4"/>
    <n v="0.09"/>
    <n v="1.2071874924999999"/>
    <n v="12.876666586666666"/>
    <n v="5.601087278909163"/>
  </r>
  <r>
    <n v="1122246"/>
    <s v="Campanha C"/>
    <x v="3"/>
    <x v="1"/>
    <x v="9"/>
    <n v="14167"/>
    <n v="5"/>
    <n v="7.1399999860000003"/>
    <n v="1"/>
    <n v="85"/>
    <n v="77.860000013999993"/>
    <n v="3.5293287216771368E-4"/>
    <n v="0.2"/>
    <n v="1.4279999972000001"/>
    <n v="7.1399999860000003"/>
    <n v="10.904761928104573"/>
  </r>
  <r>
    <n v="1122249"/>
    <s v="Campanha C"/>
    <x v="3"/>
    <x v="1"/>
    <x v="15"/>
    <n v="300637"/>
    <n v="84"/>
    <n v="116.98999809999999"/>
    <n v="5"/>
    <n v="425"/>
    <n v="308.01000190000002"/>
    <n v="2.7940672638431067E-4"/>
    <n v="0.06"/>
    <n v="1.3927380726190475"/>
    <n v="23.39799962"/>
    <n v="2.6327891862748909"/>
  </r>
  <r>
    <n v="1122253"/>
    <s v="Campanha C"/>
    <x v="3"/>
    <x v="1"/>
    <x v="15"/>
    <n v="449921"/>
    <n v="129"/>
    <n v="175.9700005"/>
    <n v="10"/>
    <n v="850"/>
    <n v="674.02999950000003"/>
    <n v="2.8671700142913976E-4"/>
    <n v="0.08"/>
    <n v="1.3641085310077519"/>
    <n v="17.597000049999998"/>
    <n v="3.8303687991408517"/>
  </r>
  <r>
    <n v="1122254"/>
    <s v="Campanha C"/>
    <x v="3"/>
    <x v="1"/>
    <x v="15"/>
    <n v="282899"/>
    <n v="71"/>
    <n v="105.6600007"/>
    <n v="0"/>
    <n v="0"/>
    <n v="-105.6600007"/>
    <n v="2.5097296208187372E-4"/>
    <n v="0"/>
    <n v="1.488169023943662"/>
    <n v="0"/>
    <n v="-1"/>
  </r>
  <r>
    <n v="1122257"/>
    <s v="Campanha C"/>
    <x v="3"/>
    <x v="1"/>
    <x v="18"/>
    <n v="669671"/>
    <n v="186"/>
    <n v="259.17999880000002"/>
    <n v="8"/>
    <n v="680"/>
    <n v="420.82000119999998"/>
    <n v="2.7774832716363708E-4"/>
    <n v="0.04"/>
    <n v="1.3934408537634411"/>
    <n v="32.397499850000003"/>
    <n v="1.6236592451130143"/>
  </r>
  <r>
    <n v="1122258"/>
    <s v="Campanha C"/>
    <x v="3"/>
    <x v="1"/>
    <x v="18"/>
    <n v="108655"/>
    <n v="28"/>
    <n v="46.920001859999999"/>
    <n v="0"/>
    <n v="0"/>
    <n v="-46.920001859999999"/>
    <n v="2.5769637844553865E-4"/>
    <n v="0"/>
    <n v="1.675714352142857"/>
    <n v="0"/>
    <n v="-1"/>
  </r>
  <r>
    <n v="1122260"/>
    <s v="Campanha C"/>
    <x v="3"/>
    <x v="1"/>
    <x v="18"/>
    <n v="536248"/>
    <n v="146"/>
    <n v="187.7399978"/>
    <n v="2"/>
    <n v="170"/>
    <n v="-17.739997799999998"/>
    <n v="2.7226208769076996E-4"/>
    <n v="0.01"/>
    <n v="1.2858903958904109"/>
    <n v="93.869998899999999"/>
    <n v="-9.4492372471946404E-2"/>
  </r>
  <r>
    <n v="1122262"/>
    <s v="Campanha C"/>
    <x v="3"/>
    <x v="1"/>
    <x v="5"/>
    <n v="1055017"/>
    <n v="265"/>
    <n v="380.65999520000003"/>
    <n v="19"/>
    <n v="1615"/>
    <n v="1234.3400047999999"/>
    <n v="2.5118078666030975E-4"/>
    <n v="7.0000000000000007E-2"/>
    <n v="1.4364528120754718"/>
    <n v="20.034736589473685"/>
    <n v="3.2426312729591498"/>
  </r>
  <r>
    <n v="1122265"/>
    <s v="Campanha C"/>
    <x v="3"/>
    <x v="1"/>
    <x v="5"/>
    <n v="1428421"/>
    <n v="367"/>
    <n v="541.70000230000005"/>
    <n v="8"/>
    <n v="680"/>
    <n v="138.29999769999995"/>
    <n v="2.5692705441883028E-4"/>
    <n v="0.02"/>
    <n v="1.4760218046321527"/>
    <n v="67.712500287500006"/>
    <n v="0.25530736037067198"/>
  </r>
  <r>
    <n v="1122266"/>
    <s v="Campanha C"/>
    <x v="3"/>
    <x v="1"/>
    <x v="5"/>
    <n v="1088027"/>
    <n v="272"/>
    <n v="409.56000260000002"/>
    <n v="14"/>
    <n v="1190"/>
    <n v="780.43999740000004"/>
    <n v="2.4999379610983919E-4"/>
    <n v="0.05"/>
    <n v="1.5057353036764707"/>
    <n v="29.254285900000003"/>
    <n v="1.905557164873404"/>
  </r>
  <r>
    <n v="1122267"/>
    <s v="Campanha C"/>
    <x v="3"/>
    <x v="1"/>
    <x v="3"/>
    <n v="288517"/>
    <n v="78"/>
    <n v="102.3900002"/>
    <n v="7"/>
    <n v="595"/>
    <n v="492.60999979999997"/>
    <n v="2.7034802108714565E-4"/>
    <n v="0.09"/>
    <n v="1.3126923102564103"/>
    <n v="14.627142885714287"/>
    <n v="4.8111143552864251"/>
  </r>
  <r>
    <n v="1122268"/>
    <s v="Campanha C"/>
    <x v="3"/>
    <x v="1"/>
    <x v="3"/>
    <n v="202231"/>
    <n v="53"/>
    <n v="67.130001070000006"/>
    <n v="0"/>
    <n v="0"/>
    <n v="-67.130001070000006"/>
    <n v="2.6207653623826221E-4"/>
    <n v="0"/>
    <n v="1.266603793773585"/>
    <n v="0"/>
    <n v="-1"/>
  </r>
  <r>
    <n v="1122270"/>
    <s v="Campanha C"/>
    <x v="3"/>
    <x v="1"/>
    <x v="3"/>
    <n v="73222"/>
    <n v="16"/>
    <n v="22.860000249999999"/>
    <n v="2"/>
    <n v="170"/>
    <n v="147.13999975000002"/>
    <n v="2.1851356149791046E-4"/>
    <n v="0.13"/>
    <n v="1.4287500156249999"/>
    <n v="11.430000124999999"/>
    <n v="6.4365703473690914"/>
  </r>
  <r>
    <n v="1122271"/>
    <s v="Campanha C"/>
    <x v="3"/>
    <x v="1"/>
    <x v="3"/>
    <n v="348542"/>
    <n v="96"/>
    <n v="134.88999899999999"/>
    <n v="4"/>
    <n v="340"/>
    <n v="205.11000100000001"/>
    <n v="2.7543308984283099E-4"/>
    <n v="0.04"/>
    <n v="1.40510415625"/>
    <n v="33.722499749999997"/>
    <n v="1.52057233687132"/>
  </r>
  <r>
    <n v="1122273"/>
    <s v="Campanha C"/>
    <x v="3"/>
    <x v="1"/>
    <x v="4"/>
    <n v="1097966"/>
    <n v="266"/>
    <n v="369.069997"/>
    <n v="21"/>
    <n v="1785"/>
    <n v="1415.9300029999999"/>
    <n v="2.422661539610516E-4"/>
    <n v="0.08"/>
    <n v="1.3874811917293233"/>
    <n v="17.57476176190476"/>
    <n v="3.8364809236986011"/>
  </r>
  <r>
    <n v="1122274"/>
    <s v="Campanha C"/>
    <x v="3"/>
    <x v="1"/>
    <x v="4"/>
    <n v="526923"/>
    <n v="138"/>
    <n v="198.0899972"/>
    <n v="0"/>
    <n v="0"/>
    <n v="-198.0899972"/>
    <n v="2.6189784845224062E-4"/>
    <n v="0"/>
    <n v="1.4354347623188406"/>
    <n v="0"/>
    <n v="-1"/>
  </r>
  <r>
    <n v="1122276"/>
    <s v="Campanha C"/>
    <x v="3"/>
    <x v="1"/>
    <x v="4"/>
    <n v="264386"/>
    <n v="66"/>
    <n v="91.000000540000002"/>
    <n v="8"/>
    <n v="680"/>
    <n v="588.99999946000003"/>
    <n v="2.4963500336629022E-4"/>
    <n v="0.12"/>
    <n v="1.378787886969697"/>
    <n v="11.3750000675"/>
    <n v="6.4725274281850025"/>
  </r>
  <r>
    <n v="1122277"/>
    <s v="Campanha C"/>
    <x v="3"/>
    <x v="1"/>
    <x v="4"/>
    <n v="854940"/>
    <n v="227"/>
    <n v="297.91000070000001"/>
    <n v="9"/>
    <n v="765"/>
    <n v="467.08999929999999"/>
    <n v="2.6551570870470443E-4"/>
    <n v="0.04"/>
    <n v="1.3123788577092512"/>
    <n v="33.101111188888893"/>
    <n v="1.567889625062862"/>
  </r>
  <r>
    <n v="1122279"/>
    <s v="Campanha C"/>
    <x v="3"/>
    <x v="1"/>
    <x v="8"/>
    <n v="113567"/>
    <n v="34"/>
    <n v="50.29000044"/>
    <n v="1"/>
    <n v="85"/>
    <n v="34.70999956"/>
    <n v="2.9938274322646545E-4"/>
    <n v="0.03"/>
    <n v="1.47911766"/>
    <n v="50.29000044"/>
    <n v="0.69019684343434851"/>
  </r>
  <r>
    <n v="1122282"/>
    <s v="Campanha C"/>
    <x v="3"/>
    <x v="1"/>
    <x v="8"/>
    <n v="22859"/>
    <n v="6"/>
    <n v="9.4199998380000007"/>
    <n v="2"/>
    <n v="170"/>
    <n v="160.580000162"/>
    <n v="2.6247867360776935E-4"/>
    <n v="0.33"/>
    <n v="1.569999973"/>
    <n v="4.7099999190000004"/>
    <n v="17.046709439869101"/>
  </r>
  <r>
    <n v="1122288"/>
    <s v="Campanha C"/>
    <x v="3"/>
    <x v="1"/>
    <x v="6"/>
    <n v="51754"/>
    <n v="13"/>
    <n v="20.519999980000001"/>
    <n v="3"/>
    <n v="255"/>
    <n v="234.48000002000001"/>
    <n v="2.5118831394674806E-4"/>
    <n v="0.23"/>
    <n v="1.578461536923077"/>
    <n v="6.8399999933333335"/>
    <n v="11.426900596907309"/>
  </r>
  <r>
    <n v="1122290"/>
    <s v="Campanha C"/>
    <x v="3"/>
    <x v="1"/>
    <x v="6"/>
    <n v="104347"/>
    <n v="28"/>
    <n v="38.139999930000002"/>
    <n v="6"/>
    <n v="510"/>
    <n v="471.86000007000001"/>
    <n v="2.6833545765570643E-4"/>
    <n v="0.21"/>
    <n v="1.3621428546428571"/>
    <n v="6.3566666550000006"/>
    <n v="12.371788173466838"/>
  </r>
  <r>
    <n v="1122303"/>
    <s v="Campanha C"/>
    <x v="3"/>
    <x v="1"/>
    <x v="13"/>
    <n v="391998"/>
    <n v="97"/>
    <n v="142.05000250000001"/>
    <n v="5"/>
    <n v="425"/>
    <n v="282.94999749999999"/>
    <n v="2.4745024209307191E-4"/>
    <n v="0.05"/>
    <n v="1.4644330154639176"/>
    <n v="28.410000500000002"/>
    <n v="1.9919042064078809"/>
  </r>
  <r>
    <n v="1122304"/>
    <s v="Campanha C"/>
    <x v="3"/>
    <x v="1"/>
    <x v="13"/>
    <n v="1111156"/>
    <n v="282"/>
    <n v="402.30000260000003"/>
    <n v="7"/>
    <n v="595"/>
    <n v="192.69999739999997"/>
    <n v="2.5378974689422548E-4"/>
    <n v="0.02"/>
    <n v="1.4265957539007093"/>
    <n v="57.471428942857145"/>
    <n v="0.47899576473927657"/>
  </r>
  <r>
    <n v="1122308"/>
    <s v="Campanha C"/>
    <x v="3"/>
    <x v="1"/>
    <x v="13"/>
    <n v="427772"/>
    <n v="117"/>
    <n v="159.29999900000001"/>
    <n v="3"/>
    <n v="255"/>
    <n v="95.700000999999986"/>
    <n v="2.7351018767006723E-4"/>
    <n v="0.03"/>
    <n v="1.3615384529914532"/>
    <n v="53.099999666666669"/>
    <n v="0.60075330571722085"/>
  </r>
  <r>
    <n v="1122310"/>
    <s v="Campanha C"/>
    <x v="3"/>
    <x v="1"/>
    <x v="21"/>
    <n v="536457"/>
    <n v="136"/>
    <n v="193.65999909999999"/>
    <n v="4"/>
    <n v="340"/>
    <n v="146.34000090000001"/>
    <n v="2.5351519320281031E-4"/>
    <n v="0.03"/>
    <n v="1.4239705816176471"/>
    <n v="48.414999774999998"/>
    <n v="0.75565424754770649"/>
  </r>
  <r>
    <n v="1122311"/>
    <s v="Campanha C"/>
    <x v="3"/>
    <x v="1"/>
    <x v="21"/>
    <n v="179894"/>
    <n v="43"/>
    <n v="66.839998719999997"/>
    <n v="2"/>
    <n v="170"/>
    <n v="103.16000128"/>
    <n v="2.3902965079435667E-4"/>
    <n v="0.05"/>
    <n v="1.5544185748837209"/>
    <n v="33.419999359999998"/>
    <n v="1.5433872420038253"/>
  </r>
  <r>
    <n v="1122312"/>
    <s v="Campanha C"/>
    <x v="3"/>
    <x v="1"/>
    <x v="21"/>
    <n v="479882"/>
    <n v="131"/>
    <n v="178.6700007"/>
    <n v="4"/>
    <n v="340"/>
    <n v="161.3299993"/>
    <n v="2.7298377517806461E-4"/>
    <n v="0.03"/>
    <n v="1.3638931351145038"/>
    <n v="44.667500175000001"/>
    <n v="0.90294956438089946"/>
  </r>
  <r>
    <n v="1122313"/>
    <s v="Campanha C"/>
    <x v="3"/>
    <x v="1"/>
    <x v="21"/>
    <n v="358261"/>
    <n v="91"/>
    <n v="130.36000110000001"/>
    <n v="3"/>
    <n v="255"/>
    <n v="124.63999889999999"/>
    <n v="2.5400476189147016E-4"/>
    <n v="0.03"/>
    <n v="1.4325274846153846"/>
    <n v="43.453333700000002"/>
    <n v="0.95612149315945338"/>
  </r>
  <r>
    <n v="1122316"/>
    <s v="Campanha C"/>
    <x v="3"/>
    <x v="1"/>
    <x v="14"/>
    <n v="346688"/>
    <n v="88"/>
    <n v="114.8599998"/>
    <n v="1"/>
    <n v="85"/>
    <n v="-29.859999799999997"/>
    <n v="2.5383053350563043E-4"/>
    <n v="0.01"/>
    <n v="1.3052272704545453"/>
    <n v="114.8599998"/>
    <n v="-0.25996865620750242"/>
  </r>
  <r>
    <n v="1314296"/>
    <s v="Campanha C"/>
    <x v="0"/>
    <x v="0"/>
    <x v="25"/>
    <n v="33445"/>
    <n v="2"/>
    <n v="3.199999928"/>
    <n v="9"/>
    <n v="765"/>
    <n v="761.80000007199999"/>
    <n v="5.9799671101808939E-5"/>
    <n v="4.5"/>
    <n v="1.599999964"/>
    <n v="0.35555554755555557"/>
    <n v="238.06250537890637"/>
  </r>
  <r>
    <n v="1314297"/>
    <s v="Campanha C"/>
    <x v="0"/>
    <x v="0"/>
    <x v="26"/>
    <n v="72228"/>
    <n v="5"/>
    <n v="7.5299998520000004"/>
    <n v="16"/>
    <n v="1360"/>
    <n v="1352.4700001480001"/>
    <n v="6.9225231212272244E-5"/>
    <n v="3.2"/>
    <n v="1.5059999704"/>
    <n v="0.47062499075000003"/>
    <n v="179.61089332409193"/>
  </r>
  <r>
    <n v="1314298"/>
    <s v="Campanha C"/>
    <x v="0"/>
    <x v="0"/>
    <x v="27"/>
    <n v="49699"/>
    <n v="2"/>
    <n v="2.6900000569999998"/>
    <n v="11"/>
    <n v="935"/>
    <n v="932.30999994299998"/>
    <n v="4.0242258395541155E-5"/>
    <n v="5.5"/>
    <n v="1.3450000284999999"/>
    <n v="0.24454545972727271"/>
    <n v="346.58363575752151"/>
  </r>
  <r>
    <n v="1314299"/>
    <s v="Campanha C"/>
    <x v="0"/>
    <x v="0"/>
    <x v="28"/>
    <n v="189761"/>
    <n v="18"/>
    <n v="27.329999690000001"/>
    <n v="13"/>
    <n v="1105"/>
    <n v="1077.67000031"/>
    <n v="9.4856161171157408E-5"/>
    <n v="0.72"/>
    <n v="1.5183333161111112"/>
    <n v="2.1023076684615387"/>
    <n v="39.431760429339398"/>
  </r>
  <r>
    <n v="1314301"/>
    <s v="Campanha C"/>
    <x v="0"/>
    <x v="0"/>
    <x v="29"/>
    <n v="312524"/>
    <n v="37"/>
    <n v="53.789999719999997"/>
    <n v="10"/>
    <n v="850"/>
    <n v="796.21000028000003"/>
    <n v="1.1839090757829799E-4"/>
    <n v="0.27"/>
    <n v="1.4537837762162162"/>
    <n v="5.3789999719999999"/>
    <n v="14.802193798561337"/>
  </r>
  <r>
    <n v="1314303"/>
    <s v="Campanha C"/>
    <x v="0"/>
    <x v="0"/>
    <x v="30"/>
    <n v="496760"/>
    <n v="42"/>
    <n v="61.009999039999997"/>
    <n v="20"/>
    <n v="1700"/>
    <n v="1638.9900009600001"/>
    <n v="8.4547870198888793E-5"/>
    <n v="0.48"/>
    <n v="1.4526190247619046"/>
    <n v="3.050499952"/>
    <n v="26.864284981965476"/>
  </r>
  <r>
    <n v="1314306"/>
    <s v="Campanha C"/>
    <x v="0"/>
    <x v="0"/>
    <x v="31"/>
    <n v="310988"/>
    <n v="34"/>
    <n v="46.669999359999998"/>
    <n v="22"/>
    <n v="1870"/>
    <n v="1823.33000064"/>
    <n v="1.0932897732388388E-4"/>
    <n v="0.65"/>
    <n v="1.3726470399999999"/>
    <n v="2.1213636072727273"/>
    <n v="39.068567080434605"/>
  </r>
  <r>
    <n v="1314307"/>
    <s v="Campanha C"/>
    <x v="0"/>
    <x v="0"/>
    <x v="32"/>
    <n v="98606"/>
    <n v="9"/>
    <n v="12.10999984"/>
    <n v="8"/>
    <n v="680"/>
    <n v="667.89000016"/>
    <n v="9.1272336368983627E-5"/>
    <n v="0.89"/>
    <n v="1.3455555377777779"/>
    <n v="1.5137499800000001"/>
    <n v="55.151941286896005"/>
  </r>
  <r>
    <n v="1314308"/>
    <s v="Campanha C"/>
    <x v="0"/>
    <x v="0"/>
    <x v="33"/>
    <n v="51104"/>
    <n v="2"/>
    <n v="3.199999928"/>
    <n v="12"/>
    <n v="1020"/>
    <n v="1016.800000072"/>
    <n v="3.9135879774577331E-5"/>
    <n v="6"/>
    <n v="1.599999964"/>
    <n v="0.26666666066666667"/>
    <n v="317.75000717187515"/>
  </r>
  <r>
    <n v="1314309"/>
    <s v="Campanha C"/>
    <x v="0"/>
    <x v="0"/>
    <x v="34"/>
    <n v="276762"/>
    <n v="22"/>
    <n v="32.090000150000002"/>
    <n v="14"/>
    <n v="1190"/>
    <n v="1157.9099998500001"/>
    <n v="7.9490681524197685E-5"/>
    <n v="0.64"/>
    <n v="1.4586363704545455"/>
    <n v="2.2921428678571432"/>
    <n v="36.083203316843864"/>
  </r>
  <r>
    <n v="1314312"/>
    <s v="Campanha C"/>
    <x v="1"/>
    <x v="0"/>
    <x v="26"/>
    <n v="33534"/>
    <n v="2"/>
    <n v="2.960000038"/>
    <n v="9"/>
    <n v="765"/>
    <n v="762.03999996200002"/>
    <n v="5.9640961412297963E-5"/>
    <n v="4.5"/>
    <n v="1.480000019"/>
    <n v="0.32888889311111114"/>
    <n v="257.44594262805884"/>
  </r>
  <r>
    <n v="1314313"/>
    <s v="Campanha C"/>
    <x v="1"/>
    <x v="0"/>
    <x v="27"/>
    <n v="128859"/>
    <n v="16"/>
    <n v="23.699999569999999"/>
    <n v="9"/>
    <n v="765"/>
    <n v="741.30000042999995"/>
    <n v="1.2416672486981894E-4"/>
    <n v="0.56000000000000005"/>
    <n v="1.481249973125"/>
    <n v="2.6333332855555556"/>
    <n v="31.278481598301564"/>
  </r>
  <r>
    <n v="1314314"/>
    <s v="Campanha C"/>
    <x v="1"/>
    <x v="0"/>
    <x v="28"/>
    <n v="92080"/>
    <n v="12"/>
    <n v="16.940000179999998"/>
    <n v="13"/>
    <n v="1105"/>
    <n v="1088.05999982"/>
    <n v="1.3032145960034753E-4"/>
    <n v="1.08"/>
    <n v="1.4116666816666665"/>
    <n v="1.3030769369230768"/>
    <n v="64.230223628014159"/>
  </r>
  <r>
    <n v="1314316"/>
    <s v="Campanha C"/>
    <x v="1"/>
    <x v="0"/>
    <x v="29"/>
    <n v="211882"/>
    <n v="33"/>
    <n v="46.649999260000001"/>
    <n v="11"/>
    <n v="935"/>
    <n v="888.35000074000004"/>
    <n v="1.5574706676357595E-4"/>
    <n v="0.33"/>
    <n v="1.4136363412121213"/>
    <n v="4.2409090236363634"/>
    <n v="19.042872772384264"/>
  </r>
  <r>
    <n v="1314318"/>
    <s v="Campanha C"/>
    <x v="1"/>
    <x v="0"/>
    <x v="30"/>
    <n v="112776"/>
    <n v="9"/>
    <n v="12.679999949999999"/>
    <n v="9"/>
    <n v="765"/>
    <n v="752.32000004999998"/>
    <n v="7.9804213662481381E-5"/>
    <n v="1"/>
    <n v="1.4088888833333333"/>
    <n v="1.4088888833333333"/>
    <n v="59.331230521810845"/>
  </r>
  <r>
    <n v="1314319"/>
    <s v="Campanha C"/>
    <x v="1"/>
    <x v="0"/>
    <x v="35"/>
    <n v="145324"/>
    <n v="14"/>
    <n v="19.820000050000001"/>
    <n v="11"/>
    <n v="935"/>
    <n v="915.17999995000002"/>
    <n v="9.633646197462222E-5"/>
    <n v="0.79"/>
    <n v="1.4157142892857144"/>
    <n v="1.8018181863636364"/>
    <n v="46.174571021254863"/>
  </r>
  <r>
    <n v="1314320"/>
    <s v="Campanha C"/>
    <x v="1"/>
    <x v="0"/>
    <x v="36"/>
    <n v="106492"/>
    <n v="14"/>
    <n v="21.260000229999999"/>
    <n v="11"/>
    <n v="935"/>
    <n v="913.73999977000005"/>
    <n v="1.314652743868084E-4"/>
    <n v="0.79"/>
    <n v="1.5185714449999999"/>
    <n v="1.9327272936363635"/>
    <n v="42.979303381221087"/>
  </r>
  <r>
    <n v="1314321"/>
    <s v="Campanha C"/>
    <x v="1"/>
    <x v="0"/>
    <x v="31"/>
    <n v="233845"/>
    <n v="30"/>
    <n v="40.730000619999998"/>
    <n v="10"/>
    <n v="850"/>
    <n v="809.26999937999994"/>
    <n v="1.2829010669460541E-4"/>
    <n v="0.33"/>
    <n v="1.3576666873333332"/>
    <n v="4.0730000620000002"/>
    <n v="19.869137909676763"/>
  </r>
  <r>
    <n v="1314323"/>
    <s v="Campanha C"/>
    <x v="1"/>
    <x v="0"/>
    <x v="33"/>
    <n v="155426"/>
    <n v="17"/>
    <n v="25.010000229999999"/>
    <n v="12"/>
    <n v="1020"/>
    <n v="994.98999977000005"/>
    <n v="1.0937680954280493E-4"/>
    <n v="0.71"/>
    <n v="1.4711764841176471"/>
    <n v="2.0841666858333334"/>
    <n v="39.783686150329956"/>
  </r>
  <r>
    <n v="1314324"/>
    <s v="Campanha C"/>
    <x v="1"/>
    <x v="0"/>
    <x v="34"/>
    <n v="97540"/>
    <n v="8"/>
    <n v="11.519999500000001"/>
    <n v="11"/>
    <n v="935"/>
    <n v="923.48000049999996"/>
    <n v="8.2017633791265127E-5"/>
    <n v="1.38"/>
    <n v="1.4399999375000001"/>
    <n v="1.0472726818181819"/>
    <n v="80.163197967152684"/>
  </r>
  <r>
    <n v="1314325"/>
    <s v="Campanha C"/>
    <x v="1"/>
    <x v="0"/>
    <x v="37"/>
    <n v="61441"/>
    <n v="5"/>
    <n v="7.7000000479999997"/>
    <n v="9"/>
    <n v="765"/>
    <n v="757.29999995200001"/>
    <n v="8.1378883807229705E-5"/>
    <n v="1.8"/>
    <n v="1.5400000095999999"/>
    <n v="0.85555556088888884"/>
    <n v="98.350648731320632"/>
  </r>
  <r>
    <n v="1314326"/>
    <s v="Campanha C"/>
    <x v="2"/>
    <x v="0"/>
    <x v="25"/>
    <n v="76703"/>
    <n v="9"/>
    <n v="12.149999619999999"/>
    <n v="13"/>
    <n v="1105"/>
    <n v="1092.85000038"/>
    <n v="1.1733569743034823E-4"/>
    <n v="1.44"/>
    <n v="1.3499999577777777"/>
    <n v="0.93461535538461527"/>
    <n v="89.946504902030611"/>
  </r>
  <r>
    <n v="1314327"/>
    <s v="Campanha C"/>
    <x v="2"/>
    <x v="0"/>
    <x v="26"/>
    <n v="68619"/>
    <n v="10"/>
    <n v="14.960000340000001"/>
    <n v="9"/>
    <n v="765"/>
    <n v="750.03999966000003"/>
    <n v="1.4573223159766247E-4"/>
    <n v="0.9"/>
    <n v="1.4960000340000001"/>
    <n v="1.6622222600000001"/>
    <n v="50.13636247417358"/>
  </r>
  <r>
    <n v="1314330"/>
    <s v="Campanha C"/>
    <x v="2"/>
    <x v="0"/>
    <x v="38"/>
    <n v="17559"/>
    <n v="1"/>
    <n v="1.4900000099999999"/>
    <n v="11"/>
    <n v="935"/>
    <n v="933.50999998999998"/>
    <n v="5.6950851415228659E-5"/>
    <n v="11"/>
    <n v="1.4900000099999999"/>
    <n v="0.13545454636363635"/>
    <n v="626.51677431196799"/>
  </r>
  <r>
    <n v="1314331"/>
    <s v="Campanha C"/>
    <x v="2"/>
    <x v="0"/>
    <x v="29"/>
    <n v="137879"/>
    <n v="19"/>
    <n v="28.470000030000001"/>
    <n v="10"/>
    <n v="850"/>
    <n v="821.52999996999995"/>
    <n v="1.3780198579914273E-4"/>
    <n v="0.53"/>
    <n v="1.4984210542105263"/>
    <n v="2.8470000030000002"/>
    <n v="28.855988728637872"/>
  </r>
  <r>
    <n v="1314332"/>
    <s v="Campanha C"/>
    <x v="2"/>
    <x v="0"/>
    <x v="39"/>
    <n v="67710"/>
    <n v="10"/>
    <n v="15.14999998"/>
    <n v="10"/>
    <n v="850"/>
    <n v="834.85000002000004"/>
    <n v="1.4768867227883621E-4"/>
    <n v="1"/>
    <n v="1.514999998"/>
    <n v="1.514999998"/>
    <n v="55.105610635122922"/>
  </r>
  <r>
    <n v="1314333"/>
    <s v="Campanha C"/>
    <x v="2"/>
    <x v="0"/>
    <x v="30"/>
    <n v="348180"/>
    <n v="41"/>
    <n v="60.229999069999998"/>
    <n v="12"/>
    <n v="1020"/>
    <n v="959.77000093000004"/>
    <n v="1.1775518410017807E-4"/>
    <n v="0.28999999999999998"/>
    <n v="1.4690243675609755"/>
    <n v="5.0191665891666668"/>
    <n v="15.935082446449057"/>
  </r>
  <r>
    <n v="1314334"/>
    <s v="Campanha C"/>
    <x v="2"/>
    <x v="0"/>
    <x v="35"/>
    <n v="146246"/>
    <n v="18"/>
    <n v="28.719999550000001"/>
    <n v="12"/>
    <n v="1020"/>
    <n v="991.28000044999999"/>
    <n v="1.2308028937543591E-4"/>
    <n v="0.67"/>
    <n v="1.5955555305555555"/>
    <n v="2.3933332958333335"/>
    <n v="34.515320890734486"/>
  </r>
  <r>
    <n v="1314336"/>
    <s v="Campanha C"/>
    <x v="2"/>
    <x v="0"/>
    <x v="31"/>
    <n v="187236"/>
    <n v="24"/>
    <n v="34.869999649999997"/>
    <n v="12"/>
    <n v="1020"/>
    <n v="985.13000035000005"/>
    <n v="1.2818047811318336E-4"/>
    <n v="0.5"/>
    <n v="1.4529166520833332"/>
    <n v="2.9058333041666664"/>
    <n v="28.251505885805198"/>
  </r>
  <r>
    <n v="1314337"/>
    <s v="Campanha C"/>
    <x v="2"/>
    <x v="0"/>
    <x v="32"/>
    <n v="72157"/>
    <n v="9"/>
    <n v="13.50000036"/>
    <n v="10"/>
    <n v="850"/>
    <n v="836.49999964000006"/>
    <n v="1.2472802361517248E-4"/>
    <n v="1.1100000000000001"/>
    <n v="1.50000004"/>
    <n v="1.350000036"/>
    <n v="61.962961283950669"/>
  </r>
  <r>
    <n v="1314338"/>
    <s v="Campanha C"/>
    <x v="2"/>
    <x v="0"/>
    <x v="33"/>
    <n v="91180"/>
    <n v="10"/>
    <n v="13.559999940000001"/>
    <n v="9"/>
    <n v="765"/>
    <n v="751.44000005999999"/>
    <n v="1.0967317394165388E-4"/>
    <n v="0.9"/>
    <n v="1.355999994"/>
    <n v="1.50666666"/>
    <n v="55.415929453167827"/>
  </r>
  <r>
    <n v="1314339"/>
    <s v="Campanha C"/>
    <x v="2"/>
    <x v="0"/>
    <x v="34"/>
    <n v="86293"/>
    <n v="6"/>
    <n v="9.2599998709999998"/>
    <n v="10"/>
    <n v="850"/>
    <n v="840.74000012900001"/>
    <n v="6.9530552883779686E-5"/>
    <n v="1.67"/>
    <n v="1.5433333118333332"/>
    <n v="0.92599998709999998"/>
    <n v="90.792657866226008"/>
  </r>
  <r>
    <n v="1314341"/>
    <s v="Campanha C"/>
    <x v="3"/>
    <x v="0"/>
    <x v="25"/>
    <n v="101410"/>
    <n v="12"/>
    <n v="17.940000059999999"/>
    <n v="13"/>
    <n v="1105"/>
    <n v="1087.0599999399999"/>
    <n v="1.1833152549058279E-4"/>
    <n v="1.08"/>
    <n v="1.4950000049999999"/>
    <n v="1.3800000046153846"/>
    <n v="60.594202692550041"/>
  </r>
  <r>
    <n v="1314343"/>
    <s v="Campanha C"/>
    <x v="3"/>
    <x v="0"/>
    <x v="27"/>
    <n v="134245"/>
    <n v="18"/>
    <n v="25.750000239999999"/>
    <n v="12"/>
    <n v="1020"/>
    <n v="994.24999976000004"/>
    <n v="1.3408320607843867E-4"/>
    <n v="0.67"/>
    <n v="1.4305555688888889"/>
    <n v="2.1458333533333334"/>
    <n v="38.611650116240938"/>
  </r>
  <r>
    <n v="1314345"/>
    <s v="Campanha C"/>
    <x v="3"/>
    <x v="0"/>
    <x v="38"/>
    <n v="125650"/>
    <n v="20"/>
    <n v="30.080000760000001"/>
    <n v="12"/>
    <n v="1020"/>
    <n v="989.91999924000004"/>
    <n v="1.5917230401910068E-4"/>
    <n v="0.6"/>
    <n v="1.504000038"/>
    <n v="2.5066667300000001"/>
    <n v="32.909573611327261"/>
  </r>
  <r>
    <n v="1314346"/>
    <s v="Campanha C"/>
    <x v="3"/>
    <x v="0"/>
    <x v="29"/>
    <n v="50406"/>
    <n v="5"/>
    <n v="7.26000011"/>
    <n v="10"/>
    <n v="850"/>
    <n v="842.73999989000004"/>
    <n v="9.9194540332500096E-5"/>
    <n v="2"/>
    <n v="1.452000022"/>
    <n v="0.726000011"/>
    <n v="116.07988803322485"/>
  </r>
  <r>
    <n v="1314348"/>
    <s v="Campanha C"/>
    <x v="3"/>
    <x v="0"/>
    <x v="30"/>
    <n v="121769"/>
    <n v="13"/>
    <n v="18.419999959999998"/>
    <n v="11"/>
    <n v="935"/>
    <n v="916.58000003999996"/>
    <n v="1.0675952007489591E-4"/>
    <n v="0.85"/>
    <n v="1.4169230738461538"/>
    <n v="1.6745454509090907"/>
    <n v="49.760043541281313"/>
  </r>
  <r>
    <n v="1314349"/>
    <s v="Campanha C"/>
    <x v="3"/>
    <x v="0"/>
    <x v="35"/>
    <n v="267106"/>
    <n v="34"/>
    <n v="50.5"/>
    <n v="14"/>
    <n v="1190"/>
    <n v="1139.5"/>
    <n v="1.2729028924846316E-4"/>
    <n v="0.41"/>
    <n v="1.4852941176470589"/>
    <n v="3.6071428571428572"/>
    <n v="22.564356435643564"/>
  </r>
  <r>
    <n v="1314350"/>
    <s v="Campanha C"/>
    <x v="3"/>
    <x v="0"/>
    <x v="36"/>
    <n v="365539"/>
    <n v="57"/>
    <n v="82.139999149999994"/>
    <n v="15"/>
    <n v="1275"/>
    <n v="1192.86000085"/>
    <n v="1.5593411373341831E-4"/>
    <n v="0.26"/>
    <n v="1.4410526166666666"/>
    <n v="5.4759999433333331"/>
    <n v="14.522279196419984"/>
  </r>
  <r>
    <n v="1314351"/>
    <s v="Campanha C"/>
    <x v="3"/>
    <x v="0"/>
    <x v="31"/>
    <n v="188758"/>
    <n v="25"/>
    <n v="36.600000379999997"/>
    <n v="11"/>
    <n v="935"/>
    <n v="898.39999962000002"/>
    <n v="1.3244471757488423E-4"/>
    <n v="0.44"/>
    <n v="1.4640000151999999"/>
    <n v="3.3272727618181817"/>
    <n v="24.546447822195354"/>
  </r>
  <r>
    <n v="1314353"/>
    <s v="Campanha C"/>
    <x v="3"/>
    <x v="0"/>
    <x v="33"/>
    <n v="108426"/>
    <n v="13"/>
    <n v="19.580000160000001"/>
    <n v="9"/>
    <n v="765"/>
    <n v="745.41999983999995"/>
    <n v="1.1989744157305443E-4"/>
    <n v="0.69"/>
    <n v="1.5061538584615386"/>
    <n v="2.1755555733333334"/>
    <n v="38.070479762447555"/>
  </r>
  <r>
    <n v="1314354"/>
    <s v="Campanha C"/>
    <x v="3"/>
    <x v="0"/>
    <x v="34"/>
    <n v="138525"/>
    <n v="9"/>
    <n v="13.65000045"/>
    <n v="12"/>
    <n v="1020"/>
    <n v="1006.34999955"/>
    <n v="6.4970221981591769E-5"/>
    <n v="1.33"/>
    <n v="1.5166667166666667"/>
    <n v="1.1375000374999999"/>
    <n v="73.725272261804207"/>
  </r>
  <r>
    <n v="1314355"/>
    <s v="Campanha C"/>
    <x v="3"/>
    <x v="0"/>
    <x v="37"/>
    <n v="150858"/>
    <n v="21"/>
    <n v="30.26000011"/>
    <n v="8"/>
    <n v="680"/>
    <n v="649.73999989000004"/>
    <n v="1.3920375452412202E-4"/>
    <n v="0.38"/>
    <n v="1.4409523861904763"/>
    <n v="3.78250001375"/>
    <n v="21.471910030670522"/>
  </r>
  <r>
    <n v="1314357"/>
    <s v="Campanha C"/>
    <x v="0"/>
    <x v="1"/>
    <x v="26"/>
    <n v="524306"/>
    <n v="81"/>
    <n v="113.68000290000001"/>
    <n v="15"/>
    <n v="1275"/>
    <n v="1161.3199970999999"/>
    <n v="1.5448993526680983E-4"/>
    <n v="0.19"/>
    <n v="1.4034568259259259"/>
    <n v="7.5786668600000002"/>
    <n v="10.215692887706638"/>
  </r>
  <r>
    <n v="1314358"/>
    <s v="Campanha C"/>
    <x v="0"/>
    <x v="1"/>
    <x v="27"/>
    <n v="104496"/>
    <n v="9"/>
    <n v="11.42999983"/>
    <n v="7"/>
    <n v="595"/>
    <n v="583.57000016999996"/>
    <n v="8.6127698667891591E-5"/>
    <n v="0.78"/>
    <n v="1.2699999811111111"/>
    <n v="1.6328571185714285"/>
    <n v="51.055993775111013"/>
  </r>
  <r>
    <n v="1314359"/>
    <s v="Campanha C"/>
    <x v="0"/>
    <x v="1"/>
    <x v="28"/>
    <n v="452519"/>
    <n v="68"/>
    <n v="99.52000237"/>
    <n v="7"/>
    <n v="595"/>
    <n v="495.47999763000001"/>
    <n v="1.5026993341716037E-4"/>
    <n v="0.1"/>
    <n v="1.4635294466176472"/>
    <n v="14.217143195714286"/>
    <n v="4.9786976068175912"/>
  </r>
  <r>
    <n v="1314360"/>
    <s v="Campanha C"/>
    <x v="0"/>
    <x v="1"/>
    <x v="38"/>
    <n v="442919"/>
    <n v="76"/>
    <n v="110.7800021"/>
    <n v="23"/>
    <n v="1955"/>
    <n v="1844.2199979"/>
    <n v="1.7158893612601852E-4"/>
    <n v="0.3"/>
    <n v="1.4576316065789474"/>
    <n v="4.816521830434783"/>
    <n v="16.647589483120257"/>
  </r>
  <r>
    <n v="1314361"/>
    <s v="Campanha C"/>
    <x v="0"/>
    <x v="1"/>
    <x v="29"/>
    <n v="596831"/>
    <n v="86"/>
    <n v="120.8799992"/>
    <n v="11"/>
    <n v="935"/>
    <n v="814.12000079999996"/>
    <n v="1.4409439187977835E-4"/>
    <n v="0.13"/>
    <n v="1.4055813860465116"/>
    <n v="10.989090836363637"/>
    <n v="6.7349437970545578"/>
  </r>
  <r>
    <n v="1314362"/>
    <s v="Campanha C"/>
    <x v="0"/>
    <x v="1"/>
    <x v="39"/>
    <n v="173912"/>
    <n v="26"/>
    <n v="35.540000319999997"/>
    <n v="5"/>
    <n v="425"/>
    <n v="389.45999968000001"/>
    <n v="1.4950089700538203E-4"/>
    <n v="0.19"/>
    <n v="1.3669230892307691"/>
    <n v="7.1080000639999996"/>
    <n v="10.958356673419413"/>
  </r>
  <r>
    <n v="1314363"/>
    <s v="Campanha C"/>
    <x v="0"/>
    <x v="1"/>
    <x v="30"/>
    <n v="780967"/>
    <n v="86"/>
    <n v="119.64000179999999"/>
    <n v="26"/>
    <n v="2210"/>
    <n v="2090.3599982000001"/>
    <n v="1.1011988982889162E-4"/>
    <n v="0.3"/>
    <n v="1.3911628116279069"/>
    <n v="4.6015385307692309"/>
    <n v="17.472082637497923"/>
  </r>
  <r>
    <n v="1314364"/>
    <s v="Campanha C"/>
    <x v="0"/>
    <x v="1"/>
    <x v="35"/>
    <n v="132124"/>
    <n v="8"/>
    <n v="11.18999994"/>
    <n v="3"/>
    <n v="255"/>
    <n v="243.81000005999999"/>
    <n v="6.0549181072325996E-5"/>
    <n v="0.38"/>
    <n v="1.3987499925"/>
    <n v="3.7299999800000001"/>
    <n v="21.788203875539967"/>
  </r>
  <r>
    <n v="1314365"/>
    <s v="Campanha C"/>
    <x v="0"/>
    <x v="1"/>
    <x v="36"/>
    <n v="623137"/>
    <n v="100"/>
    <n v="138.92000060000001"/>
    <n v="12"/>
    <n v="1020"/>
    <n v="881.07999940000002"/>
    <n v="1.6047835387723728E-4"/>
    <n v="0.12"/>
    <n v="1.389200006"/>
    <n v="11.576666716666667"/>
    <n v="6.3423552806981487"/>
  </r>
  <r>
    <n v="1314366"/>
    <s v="Campanha C"/>
    <x v="0"/>
    <x v="1"/>
    <x v="31"/>
    <n v="99020"/>
    <n v="10"/>
    <n v="14.48000044"/>
    <n v="4"/>
    <n v="340"/>
    <n v="325.51999955999997"/>
    <n v="1.0098969905069682E-4"/>
    <n v="0.4"/>
    <n v="1.448000044"/>
    <n v="3.6200001099999999"/>
    <n v="22.480662269924625"/>
  </r>
  <r>
    <n v="1314367"/>
    <s v="Campanha C"/>
    <x v="0"/>
    <x v="1"/>
    <x v="32"/>
    <n v="665817"/>
    <n v="117"/>
    <n v="163.8000002"/>
    <n v="33"/>
    <n v="2805"/>
    <n v="2641.1999998000001"/>
    <n v="1.7572396018725867E-4"/>
    <n v="0.28000000000000003"/>
    <n v="1.4000000017094016"/>
    <n v="4.9636363696969701"/>
    <n v="16.12454210363304"/>
  </r>
  <r>
    <n v="1314368"/>
    <s v="Campanha C"/>
    <x v="0"/>
    <x v="1"/>
    <x v="33"/>
    <n v="699232"/>
    <n v="80"/>
    <n v="111.9899995"/>
    <n v="15"/>
    <n v="1275"/>
    <n v="1163.0100004999999"/>
    <n v="1.1441123976019404E-4"/>
    <n v="0.19"/>
    <n v="1.3998749937499999"/>
    <n v="7.4659999666666668"/>
    <n v="10.384945135212721"/>
  </r>
  <r>
    <n v="1314371"/>
    <s v="Campanha C"/>
    <x v="1"/>
    <x v="1"/>
    <x v="25"/>
    <n v="72982"/>
    <n v="11"/>
    <n v="15.04999995"/>
    <n v="0"/>
    <n v="0"/>
    <n v="-15.04999995"/>
    <n v="1.5072209585925296E-4"/>
    <n v="0"/>
    <n v="1.3681818136363637"/>
    <n v="0"/>
    <n v="-1"/>
  </r>
  <r>
    <n v="1314372"/>
    <s v="Campanha C"/>
    <x v="1"/>
    <x v="1"/>
    <x v="26"/>
    <n v="975884"/>
    <n v="167"/>
    <n v="237.3199975"/>
    <n v="13"/>
    <n v="1105"/>
    <n v="867.6800025"/>
    <n v="1.7112689622946988E-4"/>
    <n v="0.08"/>
    <n v="1.4210778293413173"/>
    <n v="18.255384423076922"/>
    <n v="3.6561605075021122"/>
  </r>
  <r>
    <n v="1314373"/>
    <s v="Campanha C"/>
    <x v="1"/>
    <x v="1"/>
    <x v="27"/>
    <n v="245607"/>
    <n v="33"/>
    <n v="47.879999519999998"/>
    <n v="6"/>
    <n v="510"/>
    <n v="462.12000047999999"/>
    <n v="1.3436099133982339E-4"/>
    <n v="0.18"/>
    <n v="1.4509090763636363"/>
    <n v="7.97999992"/>
    <n v="9.6516291794649547"/>
  </r>
  <r>
    <n v="1314377"/>
    <s v="Campanha C"/>
    <x v="1"/>
    <x v="1"/>
    <x v="39"/>
    <n v="485369"/>
    <n v="114"/>
    <n v="164.64000150000001"/>
    <n v="5"/>
    <n v="425"/>
    <n v="260.35999849999996"/>
    <n v="2.3487284931670544E-4"/>
    <n v="0.04"/>
    <n v="1.4442105394736844"/>
    <n v="32.928000300000001"/>
    <n v="1.5813896752181453"/>
  </r>
  <r>
    <n v="1314378"/>
    <s v="Campanha C"/>
    <x v="1"/>
    <x v="1"/>
    <x v="30"/>
    <n v="866355"/>
    <n v="139"/>
    <n v="200.82999609999999"/>
    <n v="15"/>
    <n v="1275"/>
    <n v="1074.1700039"/>
    <n v="1.6044231290868064E-4"/>
    <n v="0.11"/>
    <n v="1.4448201158273379"/>
    <n v="13.388666406666665"/>
    <n v="5.3486532129649333"/>
  </r>
  <r>
    <n v="1314379"/>
    <s v="Campanha C"/>
    <x v="1"/>
    <x v="1"/>
    <x v="35"/>
    <n v="502710"/>
    <n v="72"/>
    <n v="105.2199969"/>
    <n v="13"/>
    <n v="1105"/>
    <n v="999.78000310000004"/>
    <n v="1.4322372739750553E-4"/>
    <n v="0.18"/>
    <n v="1.4613888458333333"/>
    <n v="8.0938459153846161"/>
    <n v="9.5018060497585903"/>
  </r>
  <r>
    <n v="1314380"/>
    <s v="Campanha C"/>
    <x v="1"/>
    <x v="1"/>
    <x v="36"/>
    <n v="475184"/>
    <n v="88"/>
    <n v="127.3200028"/>
    <n v="5"/>
    <n v="425"/>
    <n v="297.6799972"/>
    <n v="1.8519142058655175E-4"/>
    <n v="0.06"/>
    <n v="1.4468182136363636"/>
    <n v="25.464000559999999"/>
    <n v="2.3380457952676075"/>
  </r>
  <r>
    <n v="1314381"/>
    <s v="Campanha C"/>
    <x v="1"/>
    <x v="1"/>
    <x v="31"/>
    <n v="357401"/>
    <n v="47"/>
    <n v="68.670000079999994"/>
    <n v="8"/>
    <n v="680"/>
    <n v="611.32999991999998"/>
    <n v="1.315049482234241E-4"/>
    <n v="0.17"/>
    <n v="1.4610638314893616"/>
    <n v="8.5837500099999993"/>
    <n v="8.9024319092442905"/>
  </r>
  <r>
    <n v="1314382"/>
    <s v="Campanha C"/>
    <x v="1"/>
    <x v="1"/>
    <x v="32"/>
    <n v="99810"/>
    <n v="14"/>
    <n v="20.050000189999999"/>
    <n v="1"/>
    <n v="85"/>
    <n v="64.949999810000008"/>
    <n v="1.4026650636208798E-4"/>
    <n v="7.0000000000000007E-2"/>
    <n v="1.4321428707142856"/>
    <n v="20.050000189999999"/>
    <n v="3.2394014560854729"/>
  </r>
  <r>
    <n v="1314383"/>
    <s v="Campanha C"/>
    <x v="1"/>
    <x v="1"/>
    <x v="33"/>
    <n v="81569"/>
    <n v="6"/>
    <n v="9.4099999669999992"/>
    <n v="6"/>
    <n v="510"/>
    <n v="500.59000003300002"/>
    <n v="7.3557356348612836E-5"/>
    <n v="1"/>
    <n v="1.5683333278333331"/>
    <n v="1.5683333278333331"/>
    <n v="53.197662251702752"/>
  </r>
  <r>
    <n v="1314384"/>
    <s v="Campanha C"/>
    <x v="1"/>
    <x v="1"/>
    <x v="34"/>
    <n v="441192"/>
    <n v="53"/>
    <n v="77.599999789999998"/>
    <n v="6"/>
    <n v="510"/>
    <n v="432.40000021000003"/>
    <n v="1.2012910478884477E-4"/>
    <n v="0.11"/>
    <n v="1.4641509394339622"/>
    <n v="12.933333298333332"/>
    <n v="5.5721649662391064"/>
  </r>
  <r>
    <n v="1314385"/>
    <s v="Campanha C"/>
    <x v="1"/>
    <x v="1"/>
    <x v="37"/>
    <n v="90470"/>
    <n v="11"/>
    <n v="16.730000019999999"/>
    <n v="3"/>
    <n v="255"/>
    <n v="238.26999997999999"/>
    <n v="1.2158726649718139E-4"/>
    <n v="0.27"/>
    <n v="1.5209090927272726"/>
    <n v="5.5766666733333325"/>
    <n v="14.242080077415327"/>
  </r>
  <r>
    <n v="1314386"/>
    <s v="Campanha C"/>
    <x v="2"/>
    <x v="1"/>
    <x v="25"/>
    <n v="834243"/>
    <n v="166"/>
    <n v="246.74999750000001"/>
    <n v="27"/>
    <n v="2295"/>
    <n v="2048.2500024999999"/>
    <n v="1.9898279038601464E-4"/>
    <n v="0.16"/>
    <n v="1.4864457680722891"/>
    <n v="9.1388887962962961"/>
    <n v="8.3009119483375073"/>
  </r>
  <r>
    <n v="1314387"/>
    <s v="Campanha C"/>
    <x v="2"/>
    <x v="1"/>
    <x v="26"/>
    <n v="696612"/>
    <n v="152"/>
    <n v="223.18999479999999"/>
    <n v="36"/>
    <n v="3060"/>
    <n v="2836.8100052"/>
    <n v="2.1819894001251774E-4"/>
    <n v="0.24"/>
    <n v="1.4683552289473685"/>
    <n v="6.1997220777777775"/>
    <n v="12.710291999164472"/>
  </r>
  <r>
    <n v="1314388"/>
    <s v="Campanha C"/>
    <x v="2"/>
    <x v="1"/>
    <x v="27"/>
    <n v="329333"/>
    <n v="48"/>
    <n v="67.609999180000003"/>
    <n v="2"/>
    <n v="170"/>
    <n v="102.39000082"/>
    <n v="1.4574913537361881E-4"/>
    <n v="0.04"/>
    <n v="1.4085416495833334"/>
    <n v="33.804999590000001"/>
    <n v="1.5144209741432508"/>
  </r>
  <r>
    <n v="1314389"/>
    <s v="Campanha C"/>
    <x v="2"/>
    <x v="1"/>
    <x v="28"/>
    <n v="1114711"/>
    <n v="224"/>
    <n v="319.00000189999997"/>
    <n v="6"/>
    <n v="510"/>
    <n v="190.99999810000003"/>
    <n v="2.0094894551143748E-4"/>
    <n v="0.03"/>
    <n v="1.4241071513392856"/>
    <n v="53.166666983333329"/>
    <n v="0.59874607198239027"/>
  </r>
  <r>
    <n v="1314390"/>
    <s v="Campanha C"/>
    <x v="2"/>
    <x v="1"/>
    <x v="38"/>
    <n v="267316"/>
    <n v="58"/>
    <n v="82.929998870000006"/>
    <n v="7"/>
    <n v="595"/>
    <n v="512.07000113000004"/>
    <n v="2.1697167397387361E-4"/>
    <n v="0.12"/>
    <n v="1.429827566724138"/>
    <n v="11.847142695714286"/>
    <n v="6.1747257700161597"/>
  </r>
  <r>
    <n v="1314391"/>
    <s v="Campanha C"/>
    <x v="2"/>
    <x v="1"/>
    <x v="29"/>
    <n v="228629"/>
    <n v="38"/>
    <n v="57"/>
    <n v="3"/>
    <n v="255"/>
    <n v="198"/>
    <n v="1.6620813632566296E-4"/>
    <n v="0.08"/>
    <n v="1.5"/>
    <n v="19"/>
    <n v="3.4736842105263159"/>
  </r>
  <r>
    <n v="1314392"/>
    <s v="Campanha C"/>
    <x v="2"/>
    <x v="1"/>
    <x v="39"/>
    <n v="758340"/>
    <n v="159"/>
    <n v="233.11000200000001"/>
    <n v="18"/>
    <n v="1530"/>
    <n v="1296.8899980000001"/>
    <n v="2.0966848643088853E-4"/>
    <n v="0.11"/>
    <n v="1.466100641509434"/>
    <n v="12.950555666666666"/>
    <n v="5.5634249361809882"/>
  </r>
  <r>
    <n v="1314393"/>
    <s v="Campanha C"/>
    <x v="2"/>
    <x v="1"/>
    <x v="30"/>
    <n v="877535"/>
    <n v="149"/>
    <n v="217.7799966"/>
    <n v="5"/>
    <n v="425"/>
    <n v="207.2200034"/>
    <n v="1.6979379739839436E-4"/>
    <n v="0.03"/>
    <n v="1.4616107154362417"/>
    <n v="43.555999319999998"/>
    <n v="0.95151072933757219"/>
  </r>
  <r>
    <n v="1314394"/>
    <s v="Campanha C"/>
    <x v="2"/>
    <x v="1"/>
    <x v="35"/>
    <n v="1357386"/>
    <n v="223"/>
    <n v="323.06000710000001"/>
    <n v="9"/>
    <n v="765"/>
    <n v="441.93999289999999"/>
    <n v="1.6428635627595983E-4"/>
    <n v="0.04"/>
    <n v="1.4486995834080718"/>
    <n v="35.895556344444444"/>
    <n v="1.3679811279246392"/>
  </r>
  <r>
    <n v="1314395"/>
    <s v="Campanha C"/>
    <x v="2"/>
    <x v="1"/>
    <x v="36"/>
    <n v="280240"/>
    <n v="61"/>
    <n v="87.990001680000006"/>
    <n v="4"/>
    <n v="340"/>
    <n v="252.00999831999999"/>
    <n v="2.1767056808449901E-4"/>
    <n v="7.0000000000000007E-2"/>
    <n v="1.4424590439344263"/>
    <n v="21.997500420000001"/>
    <n v="2.864075389343713"/>
  </r>
  <r>
    <n v="1314396"/>
    <s v="Campanha C"/>
    <x v="2"/>
    <x v="1"/>
    <x v="31"/>
    <n v="419922"/>
    <n v="75"/>
    <n v="105.4500008"/>
    <n v="3"/>
    <n v="255"/>
    <n v="149.5499992"/>
    <n v="1.7860459799677082E-4"/>
    <n v="0.04"/>
    <n v="1.4060000106666666"/>
    <n v="35.150000266666666"/>
    <n v="1.4182076630197618"/>
  </r>
  <r>
    <n v="1314397"/>
    <s v="Campanha C"/>
    <x v="2"/>
    <x v="1"/>
    <x v="32"/>
    <n v="402975"/>
    <n v="83"/>
    <n v="120.8999977"/>
    <n v="0"/>
    <n v="0"/>
    <n v="-120.8999977"/>
    <n v="2.059681121657671E-4"/>
    <n v="0"/>
    <n v="1.456626478313253"/>
    <n v="0"/>
    <n v="-1"/>
  </r>
  <r>
    <n v="1314398"/>
    <s v="Campanha C"/>
    <x v="2"/>
    <x v="1"/>
    <x v="33"/>
    <n v="1137635"/>
    <n v="211"/>
    <n v="301.0499992"/>
    <n v="38"/>
    <n v="3230"/>
    <n v="2928.9500008"/>
    <n v="1.854724933744127E-4"/>
    <n v="0.18"/>
    <n v="1.4267772473933649"/>
    <n v="7.9223683999999999"/>
    <n v="9.7291147935003881"/>
  </r>
  <r>
    <n v="1314400"/>
    <s v="Campanha C"/>
    <x v="2"/>
    <x v="1"/>
    <x v="37"/>
    <n v="250234"/>
    <n v="40"/>
    <n v="62.31999922"/>
    <n v="3"/>
    <n v="255"/>
    <n v="192.68000078"/>
    <n v="1.5985038004427855E-4"/>
    <n v="0.08"/>
    <n v="1.5579999805"/>
    <n v="20.773333073333333"/>
    <n v="3.091784390108983"/>
  </r>
  <r>
    <n v="1314401"/>
    <s v="Campanha C"/>
    <x v="3"/>
    <x v="1"/>
    <x v="25"/>
    <n v="904907"/>
    <n v="195"/>
    <n v="279.21999499999998"/>
    <n v="15"/>
    <n v="1275"/>
    <n v="995.78000500000007"/>
    <n v="2.1549175771653882E-4"/>
    <n v="0.08"/>
    <n v="1.4318974102564102"/>
    <n v="18.614666333333332"/>
    <n v="3.5662918946760964"/>
  </r>
  <r>
    <n v="1314402"/>
    <s v="Campanha C"/>
    <x v="3"/>
    <x v="1"/>
    <x v="26"/>
    <n v="589270"/>
    <n v="107"/>
    <n v="158.05000229999999"/>
    <n v="11"/>
    <n v="935"/>
    <n v="776.94999770000004"/>
    <n v="1.8158059972508357E-4"/>
    <n v="0.1"/>
    <n v="1.4771028252336447"/>
    <n v="14.368182027272725"/>
    <n v="4.9158493286526204"/>
  </r>
  <r>
    <n v="1314403"/>
    <s v="Campanha C"/>
    <x v="3"/>
    <x v="1"/>
    <x v="27"/>
    <n v="168714"/>
    <n v="24"/>
    <n v="36.01000071"/>
    <n v="1"/>
    <n v="85"/>
    <n v="48.98999929"/>
    <n v="1.4225256943703547E-4"/>
    <n v="0.04"/>
    <n v="1.5004166962500001"/>
    <n v="36.01000071"/>
    <n v="1.3604553825069892"/>
  </r>
  <r>
    <n v="1314404"/>
    <s v="Campanha C"/>
    <x v="3"/>
    <x v="1"/>
    <x v="28"/>
    <n v="71982"/>
    <n v="11"/>
    <n v="16.340000509999999"/>
    <n v="0"/>
    <n v="0"/>
    <n v="-16.340000509999999"/>
    <n v="1.5281598177322109E-4"/>
    <n v="0"/>
    <n v="1.4854545918181818"/>
    <n v="0"/>
    <n v="-1"/>
  </r>
  <r>
    <n v="1314405"/>
    <s v="Campanha C"/>
    <x v="3"/>
    <x v="1"/>
    <x v="38"/>
    <n v="558666"/>
    <n v="110"/>
    <n v="162.63999749999999"/>
    <n v="20"/>
    <n v="1700"/>
    <n v="1537.3600025000001"/>
    <n v="1.9689760966301869E-4"/>
    <n v="0.18"/>
    <n v="1.4785454318181817"/>
    <n v="8.131999875"/>
    <n v="9.4525333628340729"/>
  </r>
  <r>
    <n v="1314406"/>
    <s v="Campanha C"/>
    <x v="3"/>
    <x v="1"/>
    <x v="29"/>
    <n v="1118200"/>
    <n v="235"/>
    <n v="333.74999430000003"/>
    <n v="13"/>
    <n v="1105"/>
    <n v="771.25000569999997"/>
    <n v="2.1015918440350564E-4"/>
    <n v="0.06"/>
    <n v="1.4202127417021277"/>
    <n v="25.673076484615386"/>
    <n v="2.3108614797660234"/>
  </r>
  <r>
    <n v="1314407"/>
    <s v="Campanha C"/>
    <x v="3"/>
    <x v="1"/>
    <x v="39"/>
    <n v="107100"/>
    <n v="23"/>
    <n v="33.71000051"/>
    <n v="0"/>
    <n v="0"/>
    <n v="-33.71000051"/>
    <n v="2.1475256769374417E-4"/>
    <n v="0"/>
    <n v="1.4656521960869566"/>
    <n v="0"/>
    <n v="-1"/>
  </r>
  <r>
    <n v="1314408"/>
    <s v="Campanha C"/>
    <x v="3"/>
    <x v="1"/>
    <x v="30"/>
    <n v="877769"/>
    <n v="160"/>
    <n v="232.5900005"/>
    <n v="14"/>
    <n v="1190"/>
    <n v="957.40999950000003"/>
    <n v="1.8228030381569639E-4"/>
    <n v="0.09"/>
    <n v="1.4536875031250001"/>
    <n v="16.613571464285716"/>
    <n v="4.1162990560292814"/>
  </r>
  <r>
    <n v="1314409"/>
    <s v="Campanha C"/>
    <x v="3"/>
    <x v="1"/>
    <x v="35"/>
    <n v="212508"/>
    <n v="33"/>
    <n v="47.690000060000003"/>
    <n v="7"/>
    <n v="595"/>
    <n v="547.30999994000001"/>
    <n v="1.5528827150036704E-4"/>
    <n v="0.21"/>
    <n v="1.4451515169696971"/>
    <n v="6.8128571514285721"/>
    <n v="11.476410133181282"/>
  </r>
  <r>
    <n v="1314410"/>
    <s v="Campanha C"/>
    <x v="3"/>
    <x v="1"/>
    <x v="36"/>
    <n v="1129773"/>
    <n v="252"/>
    <n v="358.18999700000001"/>
    <n v="13"/>
    <n v="1105"/>
    <n v="746.81000300000005"/>
    <n v="2.2305365768167588E-4"/>
    <n v="0.05"/>
    <n v="1.421388876984127"/>
    <n v="27.553076692307691"/>
    <n v="2.0849549380353021"/>
  </r>
  <r>
    <n v="1314411"/>
    <s v="Campanha C"/>
    <x v="3"/>
    <x v="1"/>
    <x v="31"/>
    <n v="637549"/>
    <n v="120"/>
    <n v="173.88000349999999"/>
    <n v="2"/>
    <n v="170"/>
    <n v="-3.8800034999999866"/>
    <n v="1.882208269482032E-4"/>
    <n v="0.02"/>
    <n v="1.4490000291666665"/>
    <n v="86.940001749999993"/>
    <n v="-2.2314259385208646E-2"/>
  </r>
  <r>
    <n v="1314412"/>
    <s v="Campanha C"/>
    <x v="3"/>
    <x v="1"/>
    <x v="32"/>
    <n v="151531"/>
    <n v="28"/>
    <n v="40.28999949"/>
    <n v="1"/>
    <n v="85"/>
    <n v="44.71000051"/>
    <n v="1.8478067194171489E-4"/>
    <n v="0.04"/>
    <n v="1.4389285532142857"/>
    <n v="40.28999949"/>
    <n v="1.1097046680553333"/>
  </r>
  <r>
    <n v="1314414"/>
    <s v="Campanha C"/>
    <x v="3"/>
    <x v="1"/>
    <x v="34"/>
    <n v="790253"/>
    <n v="135"/>
    <n v="198.71000050000001"/>
    <n v="9"/>
    <n v="765"/>
    <n v="566.28999950000002"/>
    <n v="1.7083136666358749E-4"/>
    <n v="7.0000000000000007E-2"/>
    <n v="1.4719259296296296"/>
    <n v="22.078888944444444"/>
    <n v="2.8498314029242833"/>
  </r>
  <r>
    <n v="1314415"/>
    <s v="Campanha C"/>
    <x v="3"/>
    <x v="1"/>
    <x v="37"/>
    <n v="513161"/>
    <n v="114"/>
    <n v="165.60999870000001"/>
    <n v="8"/>
    <n v="680"/>
    <n v="514.39000129999999"/>
    <n v="2.2215250184639908E-4"/>
    <n v="7.0000000000000007E-2"/>
    <n v="1.4527192868421053"/>
    <n v="20.701249837500001"/>
    <n v="3.1060322766610828"/>
  </r>
  <r>
    <m/>
    <m/>
    <x v="4"/>
    <x v="2"/>
    <x v="4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FBEE3-F858-4ECB-99B6-08098A19F6A1}" name="Tabela dinâ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 de interesse">
  <location ref="A41:E47" firstHeaderRow="0" firstDataRow="1" firstDataCol="1"/>
  <pivotFields count="16">
    <pivotField showAll="0"/>
    <pivotField showAll="0"/>
    <pivotField multipleItemSelectionAllowed="1" showAll="0" sortType="descending">
      <items count="6">
        <item sd="0" x="0"/>
        <item x="1"/>
        <item sd="0" x="2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axis="axisRow" showAll="0" measureFilter="1" sortType="descending">
      <items count="42">
        <item x="23"/>
        <item x="7"/>
        <item x="16"/>
        <item x="0"/>
        <item x="1"/>
        <item x="12"/>
        <item x="17"/>
        <item x="2"/>
        <item x="10"/>
        <item x="22"/>
        <item x="20"/>
        <item x="9"/>
        <item x="15"/>
        <item x="18"/>
        <item x="5"/>
        <item x="3"/>
        <item x="4"/>
        <item x="8"/>
        <item x="6"/>
        <item x="11"/>
        <item x="19"/>
        <item x="13"/>
        <item x="21"/>
        <item x="14"/>
        <item x="24"/>
        <item x="25"/>
        <item x="26"/>
        <item x="27"/>
        <item x="28"/>
        <item x="38"/>
        <item x="29"/>
        <item x="39"/>
        <item x="30"/>
        <item x="35"/>
        <item x="36"/>
        <item x="31"/>
        <item x="32"/>
        <item x="33"/>
        <item x="34"/>
        <item x="37"/>
        <item x="4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</pivotFields>
  <rowFields count="1">
    <field x="4"/>
  </rowFields>
  <rowItems count="6">
    <i>
      <x v="26"/>
    </i>
    <i>
      <x v="37"/>
    </i>
    <i>
      <x v="24"/>
    </i>
    <i>
      <x v="29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ROI" fld="15" subtotal="average" baseField="4" baseItem="4"/>
    <dataField name="Soma de Qte_de_Vendas_após_Clique" fld="8" baseField="4" baseItem="3"/>
    <dataField name="Média de CC" fld="14" subtotal="average" baseField="4" baseItem="4"/>
    <dataField name="Soma de Faturamento" fld="9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6EA7D-EC7B-4CC5-87B7-F3E78CE7C811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 de interesse">
  <location ref="A17:B35" firstHeaderRow="1" firstDataRow="1" firstDataCol="1"/>
  <pivotFields count="16">
    <pivotField showAll="0"/>
    <pivotField showAll="0"/>
    <pivotField axis="axisRow" multipleItemSelectionAllowed="1" showAll="0" sortType="descending">
      <items count="6">
        <item sd="0" x="0"/>
        <item x="1"/>
        <item sd="0" x="2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  <pivotField axis="axisRow" showAll="0" measureFilter="1" sortType="descending">
      <items count="42">
        <item x="23"/>
        <item x="7"/>
        <item x="16"/>
        <item x="0"/>
        <item x="1"/>
        <item x="12"/>
        <item x="17"/>
        <item x="2"/>
        <item x="10"/>
        <item x="22"/>
        <item x="20"/>
        <item x="9"/>
        <item x="15"/>
        <item x="18"/>
        <item x="5"/>
        <item x="3"/>
        <item x="4"/>
        <item x="8"/>
        <item x="6"/>
        <item x="11"/>
        <item x="19"/>
        <item x="13"/>
        <item x="21"/>
        <item x="14"/>
        <item x="24"/>
        <item x="25"/>
        <item x="26"/>
        <item x="27"/>
        <item x="28"/>
        <item x="38"/>
        <item x="29"/>
        <item x="39"/>
        <item x="30"/>
        <item x="35"/>
        <item x="36"/>
        <item x="31"/>
        <item x="32"/>
        <item x="33"/>
        <item x="34"/>
        <item x="37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2"/>
    <field x="3"/>
    <field x="4"/>
  </rowFields>
  <rowItems count="18">
    <i>
      <x v="1"/>
    </i>
    <i r="1">
      <x/>
    </i>
    <i r="2">
      <x v="18"/>
    </i>
    <i r="2">
      <x v="12"/>
    </i>
    <i r="2">
      <x v="37"/>
    </i>
    <i r="2">
      <x v="7"/>
    </i>
    <i r="2">
      <x v="9"/>
    </i>
    <i r="1">
      <x v="1"/>
    </i>
    <i r="2">
      <x v="18"/>
    </i>
    <i r="2">
      <x v="26"/>
    </i>
    <i r="2">
      <x v="8"/>
    </i>
    <i r="2">
      <x v="39"/>
    </i>
    <i r="2">
      <x v="21"/>
    </i>
    <i>
      <x/>
    </i>
    <i>
      <x v="2"/>
    </i>
    <i>
      <x v="3"/>
    </i>
    <i>
      <x v="4"/>
    </i>
    <i t="grand">
      <x/>
    </i>
  </rowItems>
  <colItems count="1">
    <i/>
  </colItems>
  <dataFields count="1">
    <dataField name="Média de ROI" fld="15" subtotal="average" baseField="4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F1D39-FF19-4014-962F-031A431A5212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 de interesse">
  <location ref="A5:B11" firstHeaderRow="1" firstDataRow="1" firstDataCol="1"/>
  <pivotFields count="16">
    <pivotField showAll="0"/>
    <pivotField showAll="0"/>
    <pivotField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measureFilter="1" sortType="descending">
      <items count="42">
        <item x="23"/>
        <item x="7"/>
        <item x="16"/>
        <item x="0"/>
        <item x="1"/>
        <item x="12"/>
        <item x="17"/>
        <item x="2"/>
        <item x="10"/>
        <item x="22"/>
        <item x="20"/>
        <item x="9"/>
        <item x="15"/>
        <item x="18"/>
        <item x="5"/>
        <item x="3"/>
        <item x="4"/>
        <item x="8"/>
        <item x="6"/>
        <item x="11"/>
        <item x="19"/>
        <item x="13"/>
        <item x="21"/>
        <item x="14"/>
        <item x="24"/>
        <item x="25"/>
        <item x="26"/>
        <item x="27"/>
        <item x="28"/>
        <item x="38"/>
        <item x="29"/>
        <item x="39"/>
        <item x="30"/>
        <item x="35"/>
        <item x="36"/>
        <item x="31"/>
        <item x="32"/>
        <item x="33"/>
        <item x="34"/>
        <item x="37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9"/>
    </i>
    <i>
      <x v="24"/>
    </i>
    <i>
      <x v="37"/>
    </i>
    <i>
      <x v="26"/>
    </i>
    <i>
      <x v="27"/>
    </i>
    <i t="grand">
      <x/>
    </i>
  </rowItems>
  <colItems count="1">
    <i/>
  </colItems>
  <dataFields count="1">
    <dataField name="Média de ROI" fld="15" subtotal="average" baseField="4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25E1-7E25-3949-9BAC-95C7CC60FE56}">
  <dimension ref="A1:B10"/>
  <sheetViews>
    <sheetView workbookViewId="0">
      <selection activeCell="B19" sqref="B19"/>
    </sheetView>
  </sheetViews>
  <sheetFormatPr defaultColWidth="11" defaultRowHeight="26.25"/>
  <cols>
    <col min="1" max="1" width="46" style="9" customWidth="1"/>
    <col min="2" max="2" width="142" style="9" customWidth="1"/>
  </cols>
  <sheetData>
    <row r="1" spans="1:2" ht="27" thickBot="1">
      <c r="A1" s="5" t="s">
        <v>167</v>
      </c>
      <c r="B1" s="6" t="s">
        <v>168</v>
      </c>
    </row>
    <row r="2" spans="1:2" ht="27" thickBot="1">
      <c r="A2" s="7" t="s">
        <v>10</v>
      </c>
      <c r="B2" s="8" t="s">
        <v>169</v>
      </c>
    </row>
    <row r="3" spans="1:2" ht="53.25" thickBot="1">
      <c r="A3" s="7" t="s">
        <v>163</v>
      </c>
      <c r="B3" s="8" t="s">
        <v>170</v>
      </c>
    </row>
    <row r="4" spans="1:2" ht="27" thickBot="1">
      <c r="A4" s="7" t="s">
        <v>166</v>
      </c>
      <c r="B4" s="8" t="s">
        <v>171</v>
      </c>
    </row>
    <row r="5" spans="1:2" ht="27" thickBot="1">
      <c r="A5" s="7" t="s">
        <v>6</v>
      </c>
      <c r="B5" s="8" t="s">
        <v>172</v>
      </c>
    </row>
    <row r="6" spans="1:2" ht="27" thickBot="1">
      <c r="A6" s="7" t="s">
        <v>7</v>
      </c>
      <c r="B6" s="8" t="s">
        <v>173</v>
      </c>
    </row>
    <row r="7" spans="1:2" ht="27" thickBot="1">
      <c r="A7" s="7" t="s">
        <v>8</v>
      </c>
      <c r="B7" s="8" t="s">
        <v>174</v>
      </c>
    </row>
    <row r="8" spans="1:2" ht="27" thickBot="1">
      <c r="A8" s="7" t="s">
        <v>9</v>
      </c>
      <c r="B8" s="8" t="s">
        <v>175</v>
      </c>
    </row>
    <row r="9" spans="1:2" ht="53.25" thickBot="1">
      <c r="A9" s="7" t="s">
        <v>164</v>
      </c>
      <c r="B9" s="8" t="s">
        <v>176</v>
      </c>
    </row>
    <row r="10" spans="1:2" ht="27" thickBot="1">
      <c r="A10" s="7" t="s">
        <v>177</v>
      </c>
      <c r="B10" s="8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F64E-33BD-4ABB-A57D-E5DCDE6684AC}">
  <dimension ref="A1:K49"/>
  <sheetViews>
    <sheetView tabSelected="1" topLeftCell="A20" workbookViewId="0">
      <selection activeCell="A41" sqref="A41"/>
    </sheetView>
  </sheetViews>
  <sheetFormatPr defaultRowHeight="15.75"/>
  <cols>
    <col min="1" max="1" width="22" bestFit="1" customWidth="1"/>
    <col min="2" max="2" width="12.375" bestFit="1" customWidth="1"/>
    <col min="3" max="3" width="34.125" bestFit="1" customWidth="1"/>
    <col min="4" max="4" width="11.875" bestFit="1" customWidth="1"/>
    <col min="5" max="5" width="20.125" bestFit="1" customWidth="1"/>
  </cols>
  <sheetData>
    <row r="1" spans="1:11" ht="23.25">
      <c r="A1" s="24" t="s">
        <v>191</v>
      </c>
      <c r="B1" s="24"/>
      <c r="C1" s="24"/>
      <c r="D1" s="24"/>
      <c r="E1" s="24"/>
      <c r="F1" s="24"/>
      <c r="G1" s="24"/>
      <c r="H1" s="24"/>
      <c r="I1" s="24"/>
      <c r="J1" s="24"/>
      <c r="K1" s="20"/>
    </row>
    <row r="3" spans="1:11" s="19" customFormat="1">
      <c r="A3" s="19" t="s">
        <v>193</v>
      </c>
      <c r="B3" s="22"/>
      <c r="C3" s="22"/>
      <c r="D3" s="22"/>
      <c r="E3" s="22"/>
      <c r="F3" s="22"/>
      <c r="G3" s="22"/>
      <c r="H3" s="22"/>
      <c r="I3" s="22"/>
      <c r="J3" s="22"/>
      <c r="K3" s="21"/>
    </row>
    <row r="4" spans="1:11">
      <c r="C4" s="22"/>
      <c r="D4" s="22"/>
      <c r="E4" s="22"/>
      <c r="F4" s="22"/>
      <c r="G4" s="22"/>
      <c r="H4" s="22"/>
      <c r="I4" s="22"/>
      <c r="J4" s="22"/>
      <c r="K4" s="20"/>
    </row>
    <row r="5" spans="1:11">
      <c r="A5" s="15" t="s">
        <v>195</v>
      </c>
      <c r="B5" t="s">
        <v>189</v>
      </c>
    </row>
    <row r="6" spans="1:11">
      <c r="A6" s="16">
        <v>104</v>
      </c>
      <c r="B6" s="18">
        <v>138.34023930785312</v>
      </c>
    </row>
    <row r="7" spans="1:11">
      <c r="A7" s="16">
        <v>66</v>
      </c>
      <c r="B7" s="18">
        <v>88.763620510314809</v>
      </c>
    </row>
    <row r="8" spans="1:11">
      <c r="A8" s="16">
        <v>112</v>
      </c>
      <c r="B8" s="18">
        <v>74.904546388319474</v>
      </c>
    </row>
    <row r="9" spans="1:11">
      <c r="A9" s="16">
        <v>101</v>
      </c>
      <c r="B9" s="18">
        <v>74.098741878478592</v>
      </c>
    </row>
    <row r="10" spans="1:11">
      <c r="A10" s="16">
        <v>102</v>
      </c>
      <c r="B10" s="18">
        <v>68.579466683327169</v>
      </c>
    </row>
    <row r="11" spans="1:11">
      <c r="A11" s="16" t="s">
        <v>186</v>
      </c>
      <c r="B11" s="18">
        <v>86.24811640009743</v>
      </c>
    </row>
    <row r="13" spans="1:11">
      <c r="A13" s="25" t="s">
        <v>194</v>
      </c>
    </row>
    <row r="15" spans="1:11" s="19" customFormat="1">
      <c r="A15" s="19" t="s">
        <v>196</v>
      </c>
    </row>
    <row r="17" spans="1:3">
      <c r="A17" s="15" t="s">
        <v>195</v>
      </c>
      <c r="B17" t="s">
        <v>189</v>
      </c>
    </row>
    <row r="18" spans="1:3">
      <c r="A18" s="16" t="s">
        <v>2</v>
      </c>
      <c r="B18" s="18">
        <v>103.56884772354771</v>
      </c>
    </row>
    <row r="19" spans="1:3">
      <c r="A19" s="17" t="s">
        <v>5</v>
      </c>
      <c r="B19" s="18">
        <v>60.283122989941226</v>
      </c>
    </row>
    <row r="20" spans="1:3">
      <c r="A20" s="26">
        <v>31</v>
      </c>
      <c r="B20" s="18">
        <v>196.67441538669556</v>
      </c>
    </row>
    <row r="21" spans="1:3">
      <c r="A21" s="26">
        <v>25</v>
      </c>
      <c r="B21" s="18">
        <v>54.71538177185348</v>
      </c>
    </row>
    <row r="22" spans="1:3">
      <c r="A22" s="26">
        <v>112</v>
      </c>
      <c r="B22" s="18">
        <v>53.197662251702752</v>
      </c>
    </row>
    <row r="23" spans="1:3">
      <c r="A23" s="26">
        <v>20</v>
      </c>
      <c r="B23" s="18">
        <v>52.124999203125014</v>
      </c>
    </row>
    <row r="24" spans="1:3">
      <c r="A24" s="26">
        <v>22</v>
      </c>
      <c r="B24" s="18">
        <v>46.953265592618244</v>
      </c>
    </row>
    <row r="25" spans="1:3">
      <c r="A25" s="17" t="s">
        <v>1</v>
      </c>
      <c r="B25" s="18">
        <v>184.72958159905988</v>
      </c>
    </row>
    <row r="26" spans="1:3">
      <c r="A26" s="26">
        <v>31</v>
      </c>
      <c r="B26" s="18">
        <v>592.02327328285605</v>
      </c>
    </row>
    <row r="27" spans="1:3" s="19" customFormat="1">
      <c r="A27" s="26">
        <v>101</v>
      </c>
      <c r="B27" s="18">
        <v>257.44594262805884</v>
      </c>
      <c r="C27"/>
    </row>
    <row r="28" spans="1:3">
      <c r="A28" s="26">
        <v>21</v>
      </c>
      <c r="B28" s="18">
        <v>118.03510706991369</v>
      </c>
    </row>
    <row r="29" spans="1:3">
      <c r="A29" s="26">
        <v>114</v>
      </c>
      <c r="B29" s="18">
        <v>98.350648731320632</v>
      </c>
    </row>
    <row r="30" spans="1:3">
      <c r="A30" s="26">
        <v>63</v>
      </c>
      <c r="B30" s="18">
        <v>97.982191336805343</v>
      </c>
    </row>
    <row r="31" spans="1:3">
      <c r="A31" s="16" t="s">
        <v>0</v>
      </c>
      <c r="B31" s="18">
        <v>97.09548760842415</v>
      </c>
    </row>
    <row r="32" spans="1:3">
      <c r="A32" s="16" t="s">
        <v>3</v>
      </c>
      <c r="B32" s="18">
        <v>95.262628504502061</v>
      </c>
    </row>
    <row r="33" spans="1:5">
      <c r="A33" s="16" t="s">
        <v>4</v>
      </c>
      <c r="B33" s="18">
        <v>63.472416117532532</v>
      </c>
    </row>
    <row r="34" spans="1:5">
      <c r="A34" s="16" t="s">
        <v>192</v>
      </c>
      <c r="B34" s="18"/>
    </row>
    <row r="35" spans="1:5">
      <c r="A35" s="16" t="s">
        <v>186</v>
      </c>
      <c r="B35" s="18">
        <v>86.437224873302512</v>
      </c>
    </row>
    <row r="37" spans="1:5" s="25" customFormat="1">
      <c r="A37" s="23" t="s">
        <v>197</v>
      </c>
    </row>
    <row r="39" spans="1:5" s="19" customFormat="1">
      <c r="A39" s="19" t="s">
        <v>198</v>
      </c>
    </row>
    <row r="41" spans="1:5">
      <c r="A41" s="15" t="s">
        <v>195</v>
      </c>
      <c r="B41" t="s">
        <v>189</v>
      </c>
      <c r="C41" t="s">
        <v>187</v>
      </c>
      <c r="D41" t="s">
        <v>190</v>
      </c>
      <c r="E41" t="s">
        <v>188</v>
      </c>
    </row>
    <row r="42" spans="1:5">
      <c r="A42" s="16">
        <v>101</v>
      </c>
      <c r="B42" s="18">
        <v>74.098741878478592</v>
      </c>
      <c r="C42" s="18">
        <v>109</v>
      </c>
      <c r="D42" s="18">
        <v>6.9805273617126478</v>
      </c>
      <c r="E42" s="18">
        <v>9265</v>
      </c>
    </row>
    <row r="43" spans="1:5">
      <c r="A43" s="16">
        <v>112</v>
      </c>
      <c r="B43" s="18">
        <v>74.904546388319474</v>
      </c>
      <c r="C43" s="18">
        <v>101</v>
      </c>
      <c r="D43" s="18">
        <v>3.284251039190476</v>
      </c>
      <c r="E43" s="18">
        <v>8585</v>
      </c>
    </row>
    <row r="44" spans="1:5">
      <c r="A44" s="16">
        <v>66</v>
      </c>
      <c r="B44" s="18">
        <v>88.763620510314809</v>
      </c>
      <c r="C44" s="18">
        <v>82</v>
      </c>
      <c r="D44" s="18">
        <v>3.323957764140633</v>
      </c>
      <c r="E44" s="18">
        <v>6970</v>
      </c>
    </row>
    <row r="45" spans="1:5">
      <c r="A45" s="16">
        <v>104</v>
      </c>
      <c r="B45" s="18">
        <v>138.34023930785312</v>
      </c>
      <c r="C45" s="18">
        <v>73</v>
      </c>
      <c r="D45" s="18">
        <v>5.4875571355025414</v>
      </c>
      <c r="E45" s="18">
        <v>6205</v>
      </c>
    </row>
    <row r="46" spans="1:5">
      <c r="A46" s="16">
        <v>102</v>
      </c>
      <c r="B46" s="18">
        <v>68.579466683327169</v>
      </c>
      <c r="C46" s="18">
        <v>48</v>
      </c>
      <c r="D46" s="18">
        <v>12.064509919598228</v>
      </c>
      <c r="E46" s="18">
        <v>4080</v>
      </c>
    </row>
    <row r="47" spans="1:5">
      <c r="A47" s="16" t="s">
        <v>186</v>
      </c>
      <c r="B47" s="18">
        <v>86.24811640009743</v>
      </c>
      <c r="C47" s="18">
        <v>413</v>
      </c>
      <c r="D47" s="18">
        <v>5.9542253872045716</v>
      </c>
      <c r="E47" s="18">
        <v>35105</v>
      </c>
    </row>
    <row r="49" spans="1:1" s="25" customFormat="1">
      <c r="A49" s="25" t="s">
        <v>199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4"/>
  <sheetViews>
    <sheetView topLeftCell="F1" zoomScale="86" zoomScaleNormal="86" workbookViewId="0">
      <selection activeCell="P2" sqref="A2:P1144"/>
    </sheetView>
  </sheetViews>
  <sheetFormatPr defaultColWidth="11" defaultRowHeight="15.75"/>
  <cols>
    <col min="1" max="1" width="18" bestFit="1" customWidth="1"/>
    <col min="2" max="2" width="12.875" bestFit="1" customWidth="1"/>
    <col min="3" max="3" width="14.25" bestFit="1" customWidth="1"/>
    <col min="4" max="4" width="6.25" bestFit="1" customWidth="1"/>
    <col min="5" max="5" width="16.5" bestFit="1" customWidth="1"/>
    <col min="6" max="6" width="23" bestFit="1" customWidth="1"/>
    <col min="7" max="7" width="16.25" bestFit="1" customWidth="1"/>
    <col min="8" max="8" width="19.75" bestFit="1" customWidth="1"/>
    <col min="9" max="9" width="21" customWidth="1"/>
    <col min="10" max="10" width="10.5" bestFit="1" customWidth="1"/>
    <col min="11" max="11" width="11" style="11"/>
    <col min="14" max="17" width="11" style="11"/>
  </cols>
  <sheetData>
    <row r="1" spans="1:17" ht="56.1" customHeight="1">
      <c r="A1" s="1" t="s">
        <v>10</v>
      </c>
      <c r="B1" s="1" t="s">
        <v>163</v>
      </c>
      <c r="C1" s="1" t="s">
        <v>166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164</v>
      </c>
      <c r="I1" s="1" t="s">
        <v>165</v>
      </c>
      <c r="J1" s="1" t="s">
        <v>179</v>
      </c>
      <c r="K1" s="12" t="s">
        <v>180</v>
      </c>
      <c r="L1" s="1" t="s">
        <v>181</v>
      </c>
      <c r="M1" s="1" t="s">
        <v>182</v>
      </c>
      <c r="N1" s="12" t="s">
        <v>183</v>
      </c>
      <c r="O1" s="12" t="s">
        <v>184</v>
      </c>
      <c r="P1" s="12" t="s">
        <v>185</v>
      </c>
      <c r="Q1" s="12"/>
    </row>
    <row r="2" spans="1:17">
      <c r="A2">
        <v>1121100</v>
      </c>
      <c r="B2" t="s">
        <v>162</v>
      </c>
      <c r="C2" t="s">
        <v>0</v>
      </c>
      <c r="D2" t="s">
        <v>1</v>
      </c>
      <c r="E2" s="14">
        <v>15</v>
      </c>
      <c r="F2" s="14">
        <v>3052003</v>
      </c>
      <c r="G2" s="14">
        <v>340</v>
      </c>
      <c r="H2" s="13">
        <v>639.94999810000002</v>
      </c>
      <c r="I2" s="14">
        <v>86</v>
      </c>
      <c r="J2" s="11">
        <f>I2*85</f>
        <v>7310</v>
      </c>
      <c r="K2" s="11">
        <f>J2-H2</f>
        <v>6670.0500019000001</v>
      </c>
      <c r="L2" s="10">
        <f>G2/F2</f>
        <v>1.1140224960460393E-4</v>
      </c>
      <c r="M2" s="14">
        <f>IFERROR(ROUND(I2/G2,2),0)</f>
        <v>0.25</v>
      </c>
      <c r="N2" s="11">
        <f>IFERROR(H2/G2,0)</f>
        <v>1.8822058767647059</v>
      </c>
      <c r="O2" s="11">
        <f>IFERROR(H2/I2,0)</f>
        <v>7.4412790476744188</v>
      </c>
      <c r="P2" s="11">
        <f>IFERROR((J2-H2)/H2,0)</f>
        <v>10.422767437617404</v>
      </c>
    </row>
    <row r="3" spans="1:17">
      <c r="A3">
        <v>1121104</v>
      </c>
      <c r="B3" t="s">
        <v>162</v>
      </c>
      <c r="C3" t="s">
        <v>0</v>
      </c>
      <c r="D3" t="s">
        <v>1</v>
      </c>
      <c r="E3" s="14">
        <v>16</v>
      </c>
      <c r="F3" s="14">
        <v>2080666</v>
      </c>
      <c r="G3" s="14">
        <v>202</v>
      </c>
      <c r="H3" s="13">
        <v>360.15000149999997</v>
      </c>
      <c r="I3" s="14">
        <v>69</v>
      </c>
      <c r="J3" s="11">
        <f>I3*85</f>
        <v>5865</v>
      </c>
      <c r="K3" s="11">
        <f>J3-H3</f>
        <v>5504.8499984999999</v>
      </c>
      <c r="L3" s="10">
        <f>G3/F3</f>
        <v>9.7084298969656832E-5</v>
      </c>
      <c r="M3" s="14">
        <f>IFERROR(ROUND(I3/G3,2),0)</f>
        <v>0.34</v>
      </c>
      <c r="N3" s="11">
        <f>IFERROR(H3/G3,0)</f>
        <v>1.7829207995049503</v>
      </c>
      <c r="O3" s="11">
        <f>IFERROR(H3/I3,0)</f>
        <v>5.2195652391304348</v>
      </c>
      <c r="P3" s="11">
        <f>IFERROR((J3-H3)/H3,0)</f>
        <v>15.284881231633149</v>
      </c>
    </row>
    <row r="4" spans="1:17">
      <c r="A4">
        <v>1121091</v>
      </c>
      <c r="B4" t="s">
        <v>162</v>
      </c>
      <c r="C4" t="s">
        <v>0</v>
      </c>
      <c r="D4" t="s">
        <v>1</v>
      </c>
      <c r="E4" s="14">
        <v>10</v>
      </c>
      <c r="F4" s="14">
        <v>1194718</v>
      </c>
      <c r="G4" s="14">
        <v>141</v>
      </c>
      <c r="H4" s="13">
        <v>254.04999599999999</v>
      </c>
      <c r="I4" s="14">
        <v>50</v>
      </c>
      <c r="J4" s="11">
        <f>I4*85</f>
        <v>4250</v>
      </c>
      <c r="K4" s="11">
        <f>J4-H4</f>
        <v>3995.9500039999998</v>
      </c>
      <c r="L4" s="10">
        <f>G4/F4</f>
        <v>1.1801948242179326E-4</v>
      </c>
      <c r="M4" s="14">
        <f>IFERROR(ROUND(I4/G4,2),0)</f>
        <v>0.35</v>
      </c>
      <c r="N4" s="11">
        <f>IFERROR(H4/G4,0)</f>
        <v>1.8017730212765957</v>
      </c>
      <c r="O4" s="11">
        <f>IFERROR(H4/I4,0)</f>
        <v>5.08099992</v>
      </c>
      <c r="P4" s="11">
        <f>IFERROR((J4-H4)/H4,0)</f>
        <v>15.728990619625909</v>
      </c>
    </row>
    <row r="5" spans="1:17">
      <c r="A5">
        <v>1121814</v>
      </c>
      <c r="B5" t="s">
        <v>162</v>
      </c>
      <c r="C5" t="s">
        <v>0</v>
      </c>
      <c r="D5" t="s">
        <v>5</v>
      </c>
      <c r="E5" s="14">
        <v>27</v>
      </c>
      <c r="F5" s="14">
        <v>2223278</v>
      </c>
      <c r="G5" s="14">
        <v>421</v>
      </c>
      <c r="H5" s="13">
        <v>612.30000319999999</v>
      </c>
      <c r="I5" s="14">
        <v>50</v>
      </c>
      <c r="J5" s="11">
        <f>I5*85</f>
        <v>4250</v>
      </c>
      <c r="K5" s="11">
        <f>J5-H5</f>
        <v>3637.6999968</v>
      </c>
      <c r="L5" s="10">
        <f>G5/F5</f>
        <v>1.8936003504734899E-4</v>
      </c>
      <c r="M5" s="14">
        <f>IFERROR(ROUND(I5/G5,2),0)</f>
        <v>0.12</v>
      </c>
      <c r="N5" s="11">
        <f>IFERROR(H5/G5,0)</f>
        <v>1.4543943068883611</v>
      </c>
      <c r="O5" s="11">
        <f>IFERROR(H5/I5,0)</f>
        <v>12.246000064</v>
      </c>
      <c r="P5" s="11">
        <f>IFERROR((J5-H5)/H5,0)</f>
        <v>5.9410419366138587</v>
      </c>
    </row>
    <row r="6" spans="1:17">
      <c r="A6">
        <v>1121108</v>
      </c>
      <c r="B6" t="s">
        <v>162</v>
      </c>
      <c r="C6" t="s">
        <v>0</v>
      </c>
      <c r="D6" t="s">
        <v>1</v>
      </c>
      <c r="E6" s="14">
        <v>16</v>
      </c>
      <c r="F6" s="14">
        <v>984521</v>
      </c>
      <c r="G6" s="14">
        <v>95</v>
      </c>
      <c r="H6" s="13">
        <v>163.8999972</v>
      </c>
      <c r="I6" s="14">
        <v>48</v>
      </c>
      <c r="J6" s="11">
        <f>I6*85</f>
        <v>4080</v>
      </c>
      <c r="K6" s="11">
        <f>J6-H6</f>
        <v>3916.1000027999999</v>
      </c>
      <c r="L6" s="10">
        <f>G6/F6</f>
        <v>9.6493624818566595E-5</v>
      </c>
      <c r="M6" s="14">
        <f>IFERROR(ROUND(I6/G6,2),0)</f>
        <v>0.51</v>
      </c>
      <c r="N6" s="11">
        <f>IFERROR(H6/G6,0)</f>
        <v>1.7252631284210527</v>
      </c>
      <c r="O6" s="11">
        <f>IFERROR(H6/I6,0)</f>
        <v>3.414583275</v>
      </c>
      <c r="P6" s="11">
        <f>IFERROR((J6-H6)/H6,0)</f>
        <v>23.893228003056976</v>
      </c>
    </row>
    <row r="7" spans="1:17">
      <c r="A7">
        <v>1121196</v>
      </c>
      <c r="B7" t="s">
        <v>162</v>
      </c>
      <c r="C7" t="s">
        <v>0</v>
      </c>
      <c r="D7" t="s">
        <v>1</v>
      </c>
      <c r="E7" s="14">
        <v>28</v>
      </c>
      <c r="F7" s="14">
        <v>1392288</v>
      </c>
      <c r="G7" s="14">
        <v>206</v>
      </c>
      <c r="H7" s="13">
        <v>358.55000289999998</v>
      </c>
      <c r="I7" s="14">
        <v>46</v>
      </c>
      <c r="J7" s="11">
        <f>I7*85</f>
        <v>3910</v>
      </c>
      <c r="K7" s="11">
        <f>J7-H7</f>
        <v>3551.4499971</v>
      </c>
      <c r="L7" s="10">
        <f>G7/F7</f>
        <v>1.4795789376910524E-4</v>
      </c>
      <c r="M7" s="14">
        <f>IFERROR(ROUND(I7/G7,2),0)</f>
        <v>0.22</v>
      </c>
      <c r="N7" s="11">
        <f>IFERROR(H7/G7,0)</f>
        <v>1.7405339946601941</v>
      </c>
      <c r="O7" s="11">
        <f>IFERROR(H7/I7,0)</f>
        <v>7.7945652804347825</v>
      </c>
      <c r="P7" s="11">
        <f>IFERROR((J7-H7)/H7,0)</f>
        <v>9.9050340771870076</v>
      </c>
    </row>
    <row r="8" spans="1:17">
      <c r="A8">
        <v>1121206</v>
      </c>
      <c r="B8" t="s">
        <v>162</v>
      </c>
      <c r="C8" t="s">
        <v>0</v>
      </c>
      <c r="D8" t="s">
        <v>1</v>
      </c>
      <c r="E8" s="14">
        <v>29</v>
      </c>
      <c r="F8" s="14">
        <v>227925</v>
      </c>
      <c r="G8" s="14">
        <v>22</v>
      </c>
      <c r="H8" s="13">
        <v>35.309999939999997</v>
      </c>
      <c r="I8" s="14">
        <v>42</v>
      </c>
      <c r="J8" s="11">
        <f>I8*85</f>
        <v>3570</v>
      </c>
      <c r="K8" s="11">
        <f>J8-H8</f>
        <v>3534.6900000599999</v>
      </c>
      <c r="L8" s="10">
        <f>G8/F8</f>
        <v>9.6522979050126136E-5</v>
      </c>
      <c r="M8" s="14">
        <f>IFERROR(ROUND(I8/G8,2),0)</f>
        <v>1.91</v>
      </c>
      <c r="N8" s="11">
        <f>IFERROR(H8/G8,0)</f>
        <v>1.6049999972727271</v>
      </c>
      <c r="O8" s="11">
        <f>IFERROR(H8/I8,0)</f>
        <v>0.84071428428571426</v>
      </c>
      <c r="P8" s="11">
        <f>IFERROR((J8-H8)/H8,0)</f>
        <v>100.1045031454622</v>
      </c>
    </row>
    <row r="9" spans="1:17">
      <c r="A9">
        <v>1121098</v>
      </c>
      <c r="B9" t="s">
        <v>162</v>
      </c>
      <c r="C9" t="s">
        <v>0</v>
      </c>
      <c r="D9" t="s">
        <v>1</v>
      </c>
      <c r="E9" s="14">
        <v>15</v>
      </c>
      <c r="F9" s="14">
        <v>1267550</v>
      </c>
      <c r="G9" s="14">
        <v>123</v>
      </c>
      <c r="H9" s="13">
        <v>236.76999860000001</v>
      </c>
      <c r="I9" s="14">
        <v>41</v>
      </c>
      <c r="J9" s="11">
        <f>I9*85</f>
        <v>3485</v>
      </c>
      <c r="K9" s="11">
        <f>J9-H9</f>
        <v>3248.2300014000002</v>
      </c>
      <c r="L9" s="10">
        <f>G9/F9</f>
        <v>9.7037592205435677E-5</v>
      </c>
      <c r="M9" s="14">
        <f>IFERROR(ROUND(I9/G9,2),0)</f>
        <v>0.33</v>
      </c>
      <c r="N9" s="11">
        <f>IFERROR(H9/G9,0)</f>
        <v>1.9249593382113821</v>
      </c>
      <c r="O9" s="11">
        <f>IFERROR(H9/I9,0)</f>
        <v>5.7748780146341465</v>
      </c>
      <c r="P9" s="11">
        <f>IFERROR((J9-H9)/H9,0)</f>
        <v>13.718925626584854</v>
      </c>
    </row>
    <row r="10" spans="1:17">
      <c r="A10">
        <v>1121203</v>
      </c>
      <c r="B10" t="s">
        <v>162</v>
      </c>
      <c r="C10" t="s">
        <v>0</v>
      </c>
      <c r="D10" t="s">
        <v>1</v>
      </c>
      <c r="E10" s="14">
        <v>29</v>
      </c>
      <c r="F10" s="14">
        <v>1048861</v>
      </c>
      <c r="G10" s="14">
        <v>128</v>
      </c>
      <c r="H10" s="13">
        <v>219.77000200000001</v>
      </c>
      <c r="I10" s="14">
        <v>38</v>
      </c>
      <c r="J10" s="11">
        <f>I10*85</f>
        <v>3230</v>
      </c>
      <c r="K10" s="11">
        <f>J10-H10</f>
        <v>3010.2299979999998</v>
      </c>
      <c r="L10" s="10">
        <f>G10/F10</f>
        <v>1.220371431486155E-4</v>
      </c>
      <c r="M10" s="14">
        <f>IFERROR(ROUND(I10/G10,2),0)</f>
        <v>0.3</v>
      </c>
      <c r="N10" s="11">
        <f>IFERROR(H10/G10,0)</f>
        <v>1.716953140625</v>
      </c>
      <c r="O10" s="11">
        <f>IFERROR(H10/I10,0)</f>
        <v>5.7834211052631579</v>
      </c>
      <c r="P10" s="11">
        <f>IFERROR((J10-H10)/H10,0)</f>
        <v>13.697183285278395</v>
      </c>
    </row>
    <row r="11" spans="1:17">
      <c r="A11">
        <v>1121278</v>
      </c>
      <c r="B11" t="s">
        <v>162</v>
      </c>
      <c r="C11" t="s">
        <v>0</v>
      </c>
      <c r="D11" t="s">
        <v>1</v>
      </c>
      <c r="E11" s="14">
        <v>7</v>
      </c>
      <c r="F11" s="14">
        <v>1044442</v>
      </c>
      <c r="G11" s="14">
        <v>142</v>
      </c>
      <c r="H11" s="13">
        <v>245.5999999</v>
      </c>
      <c r="I11" s="14">
        <v>38</v>
      </c>
      <c r="J11" s="11">
        <f>I11*85</f>
        <v>3230</v>
      </c>
      <c r="K11" s="11">
        <f>J11-H11</f>
        <v>2984.4000000999999</v>
      </c>
      <c r="L11" s="10">
        <f>G11/F11</f>
        <v>1.3595776500753513E-4</v>
      </c>
      <c r="M11" s="14">
        <f>IFERROR(ROUND(I11/G11,2),0)</f>
        <v>0.27</v>
      </c>
      <c r="N11" s="11">
        <f>IFERROR(H11/G11,0)</f>
        <v>1.729577464084507</v>
      </c>
      <c r="O11" s="11">
        <f>IFERROR(H11/I11,0)</f>
        <v>6.4631578921052633</v>
      </c>
      <c r="P11" s="11">
        <f>IFERROR((J11-H11)/H11,0)</f>
        <v>12.151465803400434</v>
      </c>
    </row>
    <row r="12" spans="1:17">
      <c r="A12">
        <v>1314398</v>
      </c>
      <c r="B12" t="s">
        <v>162</v>
      </c>
      <c r="C12" t="s">
        <v>3</v>
      </c>
      <c r="D12" t="s">
        <v>5</v>
      </c>
      <c r="E12" s="14">
        <v>112</v>
      </c>
      <c r="F12" s="14">
        <v>1137635</v>
      </c>
      <c r="G12" s="14">
        <v>211</v>
      </c>
      <c r="H12" s="13">
        <v>301.0499992</v>
      </c>
      <c r="I12" s="14">
        <v>38</v>
      </c>
      <c r="J12" s="11">
        <f>I12*85</f>
        <v>3230</v>
      </c>
      <c r="K12" s="11">
        <f>J12-H12</f>
        <v>2928.9500008</v>
      </c>
      <c r="L12" s="10">
        <f>G12/F12</f>
        <v>1.854724933744127E-4</v>
      </c>
      <c r="M12" s="14">
        <f>IFERROR(ROUND(I12/G12,2),0)</f>
        <v>0.18</v>
      </c>
      <c r="N12" s="11">
        <f>IFERROR(H12/G12,0)</f>
        <v>1.4267772473933649</v>
      </c>
      <c r="O12" s="11">
        <f>IFERROR(H12/I12,0)</f>
        <v>7.9223683999999999</v>
      </c>
      <c r="P12" s="11">
        <f>IFERROR((J12-H12)/H12,0)</f>
        <v>9.7291147935003881</v>
      </c>
    </row>
    <row r="13" spans="1:17">
      <c r="A13">
        <v>1121125</v>
      </c>
      <c r="B13" t="s">
        <v>162</v>
      </c>
      <c r="C13" t="s">
        <v>0</v>
      </c>
      <c r="D13" t="s">
        <v>1</v>
      </c>
      <c r="E13" s="14">
        <v>20</v>
      </c>
      <c r="F13" s="14">
        <v>1034284</v>
      </c>
      <c r="G13" s="14">
        <v>152</v>
      </c>
      <c r="H13" s="13">
        <v>257.70999860000001</v>
      </c>
      <c r="I13" s="14">
        <v>37</v>
      </c>
      <c r="J13" s="11">
        <f>I13*85</f>
        <v>3145</v>
      </c>
      <c r="K13" s="11">
        <f>J13-H13</f>
        <v>2887.2900014000002</v>
      </c>
      <c r="L13" s="10">
        <f>G13/F13</f>
        <v>1.4696156954956279E-4</v>
      </c>
      <c r="M13" s="14">
        <f>IFERROR(ROUND(I13/G13,2),0)</f>
        <v>0.24</v>
      </c>
      <c r="N13" s="11">
        <f>IFERROR(H13/G13,0)</f>
        <v>1.6954605171052632</v>
      </c>
      <c r="O13" s="11">
        <f>IFERROR(H13/I13,0)</f>
        <v>6.9651350972972974</v>
      </c>
      <c r="P13" s="11">
        <f>IFERROR((J13-H13)/H13,0)</f>
        <v>11.203639816402529</v>
      </c>
    </row>
    <row r="14" spans="1:17">
      <c r="A14">
        <v>1121167</v>
      </c>
      <c r="B14" t="s">
        <v>162</v>
      </c>
      <c r="C14" t="s">
        <v>0</v>
      </c>
      <c r="D14" t="s">
        <v>1</v>
      </c>
      <c r="E14" s="14">
        <v>25</v>
      </c>
      <c r="F14" s="14">
        <v>1063508</v>
      </c>
      <c r="G14" s="14">
        <v>145</v>
      </c>
      <c r="H14" s="13">
        <v>260.3800013</v>
      </c>
      <c r="I14" s="14">
        <v>37</v>
      </c>
      <c r="J14" s="11">
        <f>I14*85</f>
        <v>3145</v>
      </c>
      <c r="K14" s="11">
        <f>J14-H14</f>
        <v>2884.6199987</v>
      </c>
      <c r="L14" s="10">
        <f>G14/F14</f>
        <v>1.3634124049842597E-4</v>
      </c>
      <c r="M14" s="14">
        <f>IFERROR(ROUND(I14/G14,2),0)</f>
        <v>0.26</v>
      </c>
      <c r="N14" s="11">
        <f>IFERROR(H14/G14,0)</f>
        <v>1.7957241468965517</v>
      </c>
      <c r="O14" s="11">
        <f>IFERROR(H14/I14,0)</f>
        <v>7.0372973324324324</v>
      </c>
      <c r="P14" s="11">
        <f>IFERROR((J14-H14)/H14,0)</f>
        <v>11.078500592587561</v>
      </c>
    </row>
    <row r="15" spans="1:17">
      <c r="A15">
        <v>1121677</v>
      </c>
      <c r="B15" t="s">
        <v>162</v>
      </c>
      <c r="C15" t="s">
        <v>4</v>
      </c>
      <c r="D15" t="s">
        <v>1</v>
      </c>
      <c r="E15" s="14">
        <v>29</v>
      </c>
      <c r="F15" s="14">
        <v>1391924</v>
      </c>
      <c r="G15" s="14">
        <v>258</v>
      </c>
      <c r="H15" s="13">
        <v>422.84000379999998</v>
      </c>
      <c r="I15" s="14">
        <v>36</v>
      </c>
      <c r="J15" s="11">
        <f>I15*85</f>
        <v>3060</v>
      </c>
      <c r="K15" s="11">
        <f>J15-H15</f>
        <v>2637.1599962</v>
      </c>
      <c r="L15" s="10">
        <f>G15/F15</f>
        <v>1.8535494754023927E-4</v>
      </c>
      <c r="M15" s="14">
        <f>IFERROR(ROUND(I15/G15,2),0)</f>
        <v>0.14000000000000001</v>
      </c>
      <c r="N15" s="11">
        <f>IFERROR(H15/G15,0)</f>
        <v>1.6389147434108526</v>
      </c>
      <c r="O15" s="11">
        <f>IFERROR(H15/I15,0)</f>
        <v>11.74555566111111</v>
      </c>
      <c r="P15" s="11">
        <f>IFERROR((J15-H15)/H15,0)</f>
        <v>6.2367798044183074</v>
      </c>
    </row>
    <row r="16" spans="1:17">
      <c r="A16">
        <v>1314387</v>
      </c>
      <c r="B16" t="s">
        <v>162</v>
      </c>
      <c r="C16" t="s">
        <v>3</v>
      </c>
      <c r="D16" t="s">
        <v>5</v>
      </c>
      <c r="E16" s="14">
        <v>101</v>
      </c>
      <c r="F16" s="14">
        <v>696612</v>
      </c>
      <c r="G16" s="14">
        <v>152</v>
      </c>
      <c r="H16" s="13">
        <v>223.18999479999999</v>
      </c>
      <c r="I16" s="14">
        <v>36</v>
      </c>
      <c r="J16" s="11">
        <f>I16*85</f>
        <v>3060</v>
      </c>
      <c r="K16" s="11">
        <f>J16-H16</f>
        <v>2836.8100052</v>
      </c>
      <c r="L16" s="10">
        <f>G16/F16</f>
        <v>2.1819894001251774E-4</v>
      </c>
      <c r="M16" s="14">
        <f>IFERROR(ROUND(I16/G16,2),0)</f>
        <v>0.24</v>
      </c>
      <c r="N16" s="11">
        <f>IFERROR(H16/G16,0)</f>
        <v>1.4683552289473685</v>
      </c>
      <c r="O16" s="11">
        <f>IFERROR(H16/I16,0)</f>
        <v>6.1997220777777775</v>
      </c>
      <c r="P16" s="11">
        <f>IFERROR((J16-H16)/H16,0)</f>
        <v>12.710291999164472</v>
      </c>
    </row>
    <row r="17" spans="1:16">
      <c r="A17">
        <v>1121182</v>
      </c>
      <c r="B17" t="s">
        <v>162</v>
      </c>
      <c r="C17" t="s">
        <v>0</v>
      </c>
      <c r="D17" t="s">
        <v>1</v>
      </c>
      <c r="E17" s="14">
        <v>27</v>
      </c>
      <c r="F17" s="14">
        <v>876671</v>
      </c>
      <c r="G17" s="14">
        <v>120</v>
      </c>
      <c r="H17" s="13">
        <v>216.5599982</v>
      </c>
      <c r="I17" s="14">
        <v>34</v>
      </c>
      <c r="J17" s="11">
        <f>I17*85</f>
        <v>2890</v>
      </c>
      <c r="K17" s="11">
        <f>J17-H17</f>
        <v>2673.4400018000001</v>
      </c>
      <c r="L17" s="10">
        <f>G17/F17</f>
        <v>1.3688145267723011E-4</v>
      </c>
      <c r="M17" s="14">
        <f>IFERROR(ROUND(I17/G17,2),0)</f>
        <v>0.28000000000000003</v>
      </c>
      <c r="N17" s="11">
        <f>IFERROR(H17/G17,0)</f>
        <v>1.8046666516666667</v>
      </c>
      <c r="O17" s="11">
        <f>IFERROR(H17/I17,0)</f>
        <v>6.3694117117647053</v>
      </c>
      <c r="P17" s="11">
        <f>IFERROR((J17-H17)/H17,0)</f>
        <v>12.345031510994906</v>
      </c>
    </row>
    <row r="18" spans="1:16">
      <c r="A18">
        <v>1121676</v>
      </c>
      <c r="B18" t="s">
        <v>162</v>
      </c>
      <c r="C18" t="s">
        <v>4</v>
      </c>
      <c r="D18" t="s">
        <v>1</v>
      </c>
      <c r="E18" s="14">
        <v>29</v>
      </c>
      <c r="F18" s="14">
        <v>1026304</v>
      </c>
      <c r="G18" s="14">
        <v>168</v>
      </c>
      <c r="H18" s="13">
        <v>277.57999860000001</v>
      </c>
      <c r="I18" s="14">
        <v>33</v>
      </c>
      <c r="J18" s="11">
        <f>I18*85</f>
        <v>2805</v>
      </c>
      <c r="K18" s="11">
        <f>J18-H18</f>
        <v>2527.4200013999998</v>
      </c>
      <c r="L18" s="10">
        <f>G18/F18</f>
        <v>1.6369418807682715E-4</v>
      </c>
      <c r="M18" s="14">
        <f>IFERROR(ROUND(I18/G18,2),0)</f>
        <v>0.2</v>
      </c>
      <c r="N18" s="11">
        <f>IFERROR(H18/G18,0)</f>
        <v>1.6522618964285716</v>
      </c>
      <c r="O18" s="11">
        <f>IFERROR(H18/I18,0)</f>
        <v>8.4115151090909102</v>
      </c>
      <c r="P18" s="11">
        <f>IFERROR((J18-H18)/H18,0)</f>
        <v>9.1051949497343916</v>
      </c>
    </row>
    <row r="19" spans="1:16">
      <c r="A19">
        <v>1121824</v>
      </c>
      <c r="B19" t="s">
        <v>162</v>
      </c>
      <c r="C19" t="s">
        <v>0</v>
      </c>
      <c r="D19" t="s">
        <v>5</v>
      </c>
      <c r="E19" s="14">
        <v>29</v>
      </c>
      <c r="F19" s="14">
        <v>1705246</v>
      </c>
      <c r="G19" s="14">
        <v>295</v>
      </c>
      <c r="H19" s="13">
        <v>429.47999809999999</v>
      </c>
      <c r="I19" s="14">
        <v>33</v>
      </c>
      <c r="J19" s="11">
        <f>I19*85</f>
        <v>2805</v>
      </c>
      <c r="K19" s="11">
        <f>J19-H19</f>
        <v>2375.5200018999999</v>
      </c>
      <c r="L19" s="10">
        <f>G19/F19</f>
        <v>1.7299556779491054E-4</v>
      </c>
      <c r="M19" s="14">
        <f>IFERROR(ROUND(I19/G19,2),0)</f>
        <v>0.11</v>
      </c>
      <c r="N19" s="11">
        <f>IFERROR(H19/G19,0)</f>
        <v>1.4558644003389831</v>
      </c>
      <c r="O19" s="11">
        <f>IFERROR(H19/I19,0)</f>
        <v>13.014545396969696</v>
      </c>
      <c r="P19" s="11">
        <f>IFERROR((J19-H19)/H19,0)</f>
        <v>5.5311539825118574</v>
      </c>
    </row>
    <row r="20" spans="1:16">
      <c r="A20">
        <v>1314367</v>
      </c>
      <c r="B20" t="s">
        <v>162</v>
      </c>
      <c r="C20" t="s">
        <v>0</v>
      </c>
      <c r="D20" t="s">
        <v>5</v>
      </c>
      <c r="E20" s="14">
        <v>111</v>
      </c>
      <c r="F20" s="14">
        <v>665817</v>
      </c>
      <c r="G20" s="14">
        <v>117</v>
      </c>
      <c r="H20" s="13">
        <v>163.8000002</v>
      </c>
      <c r="I20" s="14">
        <v>33</v>
      </c>
      <c r="J20" s="11">
        <f>I20*85</f>
        <v>2805</v>
      </c>
      <c r="K20" s="11">
        <f>J20-H20</f>
        <v>2641.1999998000001</v>
      </c>
      <c r="L20" s="10">
        <f>G20/F20</f>
        <v>1.7572396018725867E-4</v>
      </c>
      <c r="M20" s="14">
        <f>IFERROR(ROUND(I20/G20,2),0)</f>
        <v>0.28000000000000003</v>
      </c>
      <c r="N20" s="11">
        <f>IFERROR(H20/G20,0)</f>
        <v>1.4000000017094016</v>
      </c>
      <c r="O20" s="11">
        <f>IFERROR(H20/I20,0)</f>
        <v>4.9636363696969701</v>
      </c>
      <c r="P20" s="11">
        <f>IFERROR((J20-H20)/H20,0)</f>
        <v>16.12454210363304</v>
      </c>
    </row>
    <row r="21" spans="1:16">
      <c r="A21">
        <v>1121302</v>
      </c>
      <c r="B21" t="s">
        <v>162</v>
      </c>
      <c r="C21" t="s">
        <v>2</v>
      </c>
      <c r="D21" t="s">
        <v>1</v>
      </c>
      <c r="E21" s="14">
        <v>16</v>
      </c>
      <c r="F21" s="14">
        <v>1206533</v>
      </c>
      <c r="G21" s="14">
        <v>128</v>
      </c>
      <c r="H21" s="13">
        <v>236.11999879999999</v>
      </c>
      <c r="I21" s="14">
        <v>32</v>
      </c>
      <c r="J21" s="11">
        <f>I21*85</f>
        <v>2720</v>
      </c>
      <c r="K21" s="11">
        <f>J21-H21</f>
        <v>2483.8800012000002</v>
      </c>
      <c r="L21" s="10">
        <f>G21/F21</f>
        <v>1.0608909992515746E-4</v>
      </c>
      <c r="M21" s="14">
        <f>IFERROR(ROUND(I21/G21,2),0)</f>
        <v>0.25</v>
      </c>
      <c r="N21" s="11">
        <f>IFERROR(H21/G21,0)</f>
        <v>1.8446874906249999</v>
      </c>
      <c r="O21" s="11">
        <f>IFERROR(H21/I21,0)</f>
        <v>7.3787499624999997</v>
      </c>
      <c r="P21" s="11">
        <f>IFERROR((J21-H21)/H21,0)</f>
        <v>10.519566380753345</v>
      </c>
    </row>
    <row r="22" spans="1:16">
      <c r="A22">
        <v>1121452</v>
      </c>
      <c r="B22" t="s">
        <v>162</v>
      </c>
      <c r="C22" t="s">
        <v>3</v>
      </c>
      <c r="D22" t="s">
        <v>1</v>
      </c>
      <c r="E22" s="14">
        <v>16</v>
      </c>
      <c r="F22" s="14">
        <v>1663441</v>
      </c>
      <c r="G22" s="14">
        <v>205</v>
      </c>
      <c r="H22" s="13">
        <v>359.47000009999999</v>
      </c>
      <c r="I22" s="14">
        <v>31</v>
      </c>
      <c r="J22" s="11">
        <f>I22*85</f>
        <v>2635</v>
      </c>
      <c r="K22" s="11">
        <f>J22-H22</f>
        <v>2275.5299998999999</v>
      </c>
      <c r="L22" s="10">
        <f>G22/F22</f>
        <v>1.2323851582352486E-4</v>
      </c>
      <c r="M22" s="14">
        <f>IFERROR(ROUND(I22/G22,2),0)</f>
        <v>0.15</v>
      </c>
      <c r="N22" s="11">
        <f>IFERROR(H22/G22,0)</f>
        <v>1.7535121956097561</v>
      </c>
      <c r="O22" s="11">
        <f>IFERROR(H22/I22,0)</f>
        <v>11.59580645483871</v>
      </c>
      <c r="P22" s="11">
        <f>IFERROR((J22-H22)/H22,0)</f>
        <v>6.3302361790051362</v>
      </c>
    </row>
    <row r="23" spans="1:16">
      <c r="A23">
        <v>1121601</v>
      </c>
      <c r="B23" t="s">
        <v>162</v>
      </c>
      <c r="C23" t="s">
        <v>4</v>
      </c>
      <c r="D23" t="s">
        <v>1</v>
      </c>
      <c r="E23" s="14">
        <v>16</v>
      </c>
      <c r="F23" s="14">
        <v>2286228</v>
      </c>
      <c r="G23" s="14">
        <v>353</v>
      </c>
      <c r="H23" s="13">
        <v>603.38000199999999</v>
      </c>
      <c r="I23" s="14">
        <v>31</v>
      </c>
      <c r="J23" s="11">
        <f>I23*85</f>
        <v>2635</v>
      </c>
      <c r="K23" s="11">
        <f>J23-H23</f>
        <v>2031.6199980000001</v>
      </c>
      <c r="L23" s="10">
        <f>G23/F23</f>
        <v>1.5440279797115599E-4</v>
      </c>
      <c r="M23" s="14">
        <f>IFERROR(ROUND(I23/G23,2),0)</f>
        <v>0.09</v>
      </c>
      <c r="N23" s="11">
        <f>IFERROR(H23/G23,0)</f>
        <v>1.7092917903682718</v>
      </c>
      <c r="O23" s="11">
        <f>IFERROR(H23/I23,0)</f>
        <v>19.463871032258066</v>
      </c>
      <c r="P23" s="11">
        <f>IFERROR((J23-H23)/H23,0)</f>
        <v>3.3670655163675778</v>
      </c>
    </row>
    <row r="24" spans="1:16">
      <c r="A24">
        <v>1121746</v>
      </c>
      <c r="B24" t="s">
        <v>162</v>
      </c>
      <c r="C24" t="s">
        <v>0</v>
      </c>
      <c r="D24" t="s">
        <v>5</v>
      </c>
      <c r="E24" s="14">
        <v>15</v>
      </c>
      <c r="F24" s="14">
        <v>1117371</v>
      </c>
      <c r="G24" s="14">
        <v>177</v>
      </c>
      <c r="H24" s="13">
        <v>268.05000200000001</v>
      </c>
      <c r="I24" s="14">
        <v>31</v>
      </c>
      <c r="J24" s="11">
        <f>I24*85</f>
        <v>2635</v>
      </c>
      <c r="K24" s="11">
        <f>J24-H24</f>
        <v>2366.9499980000001</v>
      </c>
      <c r="L24" s="10">
        <f>G24/F24</f>
        <v>1.5840754771691767E-4</v>
      </c>
      <c r="M24" s="14">
        <f>IFERROR(ROUND(I24/G24,2),0)</f>
        <v>0.18</v>
      </c>
      <c r="N24" s="11">
        <f>IFERROR(H24/G24,0)</f>
        <v>1.5144067909604519</v>
      </c>
      <c r="O24" s="11">
        <f>IFERROR(H24/I24,0)</f>
        <v>8.6467742580645162</v>
      </c>
      <c r="P24" s="11">
        <f>IFERROR((J24-H24)/H24,0)</f>
        <v>8.8302554759913789</v>
      </c>
    </row>
    <row r="25" spans="1:16">
      <c r="A25">
        <v>1121367</v>
      </c>
      <c r="B25" t="s">
        <v>162</v>
      </c>
      <c r="C25" t="s">
        <v>2</v>
      </c>
      <c r="D25" t="s">
        <v>1</v>
      </c>
      <c r="E25" s="14">
        <v>28</v>
      </c>
      <c r="F25" s="14">
        <v>1447755</v>
      </c>
      <c r="G25" s="14">
        <v>233</v>
      </c>
      <c r="H25" s="13">
        <v>420.5799983</v>
      </c>
      <c r="I25" s="14">
        <v>27</v>
      </c>
      <c r="J25" s="11">
        <f>I25*85</f>
        <v>2295</v>
      </c>
      <c r="K25" s="11">
        <f>J25-H25</f>
        <v>1874.4200017000001</v>
      </c>
      <c r="L25" s="10">
        <f>G25/F25</f>
        <v>1.6093883288263554E-4</v>
      </c>
      <c r="M25" s="14">
        <f>IFERROR(ROUND(I25/G25,2),0)</f>
        <v>0.12</v>
      </c>
      <c r="N25" s="11">
        <f>IFERROR(H25/G25,0)</f>
        <v>1.8050643703862661</v>
      </c>
      <c r="O25" s="11">
        <f>IFERROR(H25/I25,0)</f>
        <v>15.577036974074074</v>
      </c>
      <c r="P25" s="11">
        <f>IFERROR((J25-H25)/H25,0)</f>
        <v>4.4567502241582471</v>
      </c>
    </row>
    <row r="26" spans="1:16">
      <c r="A26">
        <v>1314386</v>
      </c>
      <c r="B26" t="s">
        <v>162</v>
      </c>
      <c r="C26" t="s">
        <v>3</v>
      </c>
      <c r="D26" t="s">
        <v>5</v>
      </c>
      <c r="E26" s="14">
        <v>100</v>
      </c>
      <c r="F26" s="14">
        <v>834243</v>
      </c>
      <c r="G26" s="14">
        <v>166</v>
      </c>
      <c r="H26" s="13">
        <v>246.74999750000001</v>
      </c>
      <c r="I26" s="14">
        <v>27</v>
      </c>
      <c r="J26" s="11">
        <f>I26*85</f>
        <v>2295</v>
      </c>
      <c r="K26" s="11">
        <f>J26-H26</f>
        <v>2048.2500024999999</v>
      </c>
      <c r="L26" s="10">
        <f>G26/F26</f>
        <v>1.9898279038601464E-4</v>
      </c>
      <c r="M26" s="14">
        <f>IFERROR(ROUND(I26/G26,2),0)</f>
        <v>0.16</v>
      </c>
      <c r="N26" s="11">
        <f>IFERROR(H26/G26,0)</f>
        <v>1.4864457680722891</v>
      </c>
      <c r="O26" s="11">
        <f>IFERROR(H26/I26,0)</f>
        <v>9.1388887962962961</v>
      </c>
      <c r="P26" s="11">
        <f>IFERROR((J26-H26)/H26,0)</f>
        <v>8.3009119483375073</v>
      </c>
    </row>
    <row r="27" spans="1:16">
      <c r="A27">
        <v>1121092</v>
      </c>
      <c r="B27" t="s">
        <v>162</v>
      </c>
      <c r="C27" t="s">
        <v>0</v>
      </c>
      <c r="D27" t="s">
        <v>1</v>
      </c>
      <c r="E27" s="14">
        <v>10</v>
      </c>
      <c r="F27" s="14">
        <v>637648</v>
      </c>
      <c r="G27" s="14">
        <v>67</v>
      </c>
      <c r="H27" s="13">
        <v>122.4</v>
      </c>
      <c r="I27" s="14">
        <v>26</v>
      </c>
      <c r="J27" s="11">
        <f>I27*85</f>
        <v>2210</v>
      </c>
      <c r="K27" s="11">
        <f>J27-H27</f>
        <v>2087.6</v>
      </c>
      <c r="L27" s="10">
        <f>G27/F27</f>
        <v>1.050736456477555E-4</v>
      </c>
      <c r="M27" s="14">
        <f>IFERROR(ROUND(I27/G27,2),0)</f>
        <v>0.39</v>
      </c>
      <c r="N27" s="11">
        <f>IFERROR(H27/G27,0)</f>
        <v>1.826865671641791</v>
      </c>
      <c r="O27" s="11">
        <f>IFERROR(H27/I27,0)</f>
        <v>4.7076923076923078</v>
      </c>
      <c r="P27" s="11">
        <f>IFERROR((J27-H27)/H27,0)</f>
        <v>17.055555555555554</v>
      </c>
    </row>
    <row r="28" spans="1:16">
      <c r="A28">
        <v>1314363</v>
      </c>
      <c r="B28" t="s">
        <v>162</v>
      </c>
      <c r="C28" t="s">
        <v>0</v>
      </c>
      <c r="D28" t="s">
        <v>5</v>
      </c>
      <c r="E28" s="14">
        <v>107</v>
      </c>
      <c r="F28" s="14">
        <v>780967</v>
      </c>
      <c r="G28" s="14">
        <v>86</v>
      </c>
      <c r="H28" s="13">
        <v>119.64000179999999</v>
      </c>
      <c r="I28" s="14">
        <v>26</v>
      </c>
      <c r="J28" s="11">
        <f>I28*85</f>
        <v>2210</v>
      </c>
      <c r="K28" s="11">
        <f>J28-H28</f>
        <v>2090.3599982000001</v>
      </c>
      <c r="L28" s="10">
        <f>G28/F28</f>
        <v>1.1011988982889162E-4</v>
      </c>
      <c r="M28" s="14">
        <f>IFERROR(ROUND(I28/G28,2),0)</f>
        <v>0.3</v>
      </c>
      <c r="N28" s="11">
        <f>IFERROR(H28/G28,0)</f>
        <v>1.3911628116279069</v>
      </c>
      <c r="O28" s="11">
        <f>IFERROR(H28/I28,0)</f>
        <v>4.6015385307692309</v>
      </c>
      <c r="P28" s="11">
        <f>IFERROR((J28-H28)/H28,0)</f>
        <v>17.472082637497923</v>
      </c>
    </row>
    <row r="29" spans="1:16">
      <c r="A29">
        <v>1121593</v>
      </c>
      <c r="B29" t="s">
        <v>162</v>
      </c>
      <c r="C29" t="s">
        <v>4</v>
      </c>
      <c r="D29" t="s">
        <v>1</v>
      </c>
      <c r="E29" s="14">
        <v>10</v>
      </c>
      <c r="F29" s="14">
        <v>1177535</v>
      </c>
      <c r="G29" s="14">
        <v>221</v>
      </c>
      <c r="H29" s="13">
        <v>365.6600009</v>
      </c>
      <c r="I29" s="14">
        <v>25</v>
      </c>
      <c r="J29" s="11">
        <f>I29*85</f>
        <v>2125</v>
      </c>
      <c r="K29" s="11">
        <f>J29-H29</f>
        <v>1759.3399991000001</v>
      </c>
      <c r="L29" s="10">
        <f>G29/F29</f>
        <v>1.8768019634235925E-4</v>
      </c>
      <c r="M29" s="14">
        <f>IFERROR(ROUND(I29/G29,2),0)</f>
        <v>0.11</v>
      </c>
      <c r="N29" s="11">
        <f>IFERROR(H29/G29,0)</f>
        <v>1.6545701398190045</v>
      </c>
      <c r="O29" s="11">
        <f>IFERROR(H29/I29,0)</f>
        <v>14.626400036</v>
      </c>
      <c r="P29" s="11">
        <f>IFERROR((J29-H29)/H29,0)</f>
        <v>4.8114094917949233</v>
      </c>
    </row>
    <row r="30" spans="1:16">
      <c r="A30">
        <v>1121812</v>
      </c>
      <c r="B30" t="s">
        <v>162</v>
      </c>
      <c r="C30" t="s">
        <v>0</v>
      </c>
      <c r="D30" t="s">
        <v>5</v>
      </c>
      <c r="E30" s="14">
        <v>27</v>
      </c>
      <c r="F30" s="14">
        <v>935646</v>
      </c>
      <c r="G30" s="14">
        <v>170</v>
      </c>
      <c r="H30" s="13">
        <v>256.46999820000002</v>
      </c>
      <c r="I30" s="14">
        <v>24</v>
      </c>
      <c r="J30" s="11">
        <f>I30*85</f>
        <v>2040</v>
      </c>
      <c r="K30" s="11">
        <f>J30-H30</f>
        <v>1783.5300018</v>
      </c>
      <c r="L30" s="10">
        <f>G30/F30</f>
        <v>1.8169264871543297E-4</v>
      </c>
      <c r="M30" s="14">
        <f>IFERROR(ROUND(I30/G30,2),0)</f>
        <v>0.14000000000000001</v>
      </c>
      <c r="N30" s="11">
        <f>IFERROR(H30/G30,0)</f>
        <v>1.5086470482352943</v>
      </c>
      <c r="O30" s="11">
        <f>IFERROR(H30/I30,0)</f>
        <v>10.686249925</v>
      </c>
      <c r="P30" s="11">
        <f>IFERROR((J30-H30)/H30,0)</f>
        <v>6.9541467396477721</v>
      </c>
    </row>
    <row r="31" spans="1:16">
      <c r="A31">
        <v>1121197</v>
      </c>
      <c r="B31" t="s">
        <v>162</v>
      </c>
      <c r="C31" t="s">
        <v>0</v>
      </c>
      <c r="D31" t="s">
        <v>1</v>
      </c>
      <c r="E31" s="14">
        <v>28</v>
      </c>
      <c r="F31" s="14">
        <v>1109387</v>
      </c>
      <c r="G31" s="14">
        <v>159</v>
      </c>
      <c r="H31" s="13">
        <v>280.98999950000001</v>
      </c>
      <c r="I31" s="14">
        <v>23</v>
      </c>
      <c r="J31" s="11">
        <f>I31*85</f>
        <v>1955</v>
      </c>
      <c r="K31" s="11">
        <f>J31-H31</f>
        <v>1674.0100004999999</v>
      </c>
      <c r="L31" s="10">
        <f>G31/F31</f>
        <v>1.4332239335777326E-4</v>
      </c>
      <c r="M31" s="14">
        <f>IFERROR(ROUND(I31/G31,2),0)</f>
        <v>0.14000000000000001</v>
      </c>
      <c r="N31" s="11">
        <f>IFERROR(H31/G31,0)</f>
        <v>1.7672327012578617</v>
      </c>
      <c r="O31" s="11">
        <f>IFERROR(H31/I31,0)</f>
        <v>12.2169565</v>
      </c>
      <c r="P31" s="11">
        <f>IFERROR((J31-H31)/H31,0)</f>
        <v>5.9575429854399493</v>
      </c>
    </row>
    <row r="32" spans="1:16">
      <c r="A32">
        <v>1121202</v>
      </c>
      <c r="B32" t="s">
        <v>162</v>
      </c>
      <c r="C32" t="s">
        <v>0</v>
      </c>
      <c r="D32" t="s">
        <v>1</v>
      </c>
      <c r="E32" s="14">
        <v>29</v>
      </c>
      <c r="F32" s="14">
        <v>581281</v>
      </c>
      <c r="G32" s="14">
        <v>65</v>
      </c>
      <c r="H32" s="13">
        <v>115.1200008</v>
      </c>
      <c r="I32" s="14">
        <v>23</v>
      </c>
      <c r="J32" s="11">
        <f>I32*85</f>
        <v>1955</v>
      </c>
      <c r="K32" s="11">
        <f>J32-H32</f>
        <v>1839.8799991999999</v>
      </c>
      <c r="L32" s="10">
        <f>G32/F32</f>
        <v>1.1182199314961266E-4</v>
      </c>
      <c r="M32" s="14">
        <f>IFERROR(ROUND(I32/G32,2),0)</f>
        <v>0.35</v>
      </c>
      <c r="N32" s="11">
        <f>IFERROR(H32/G32,0)</f>
        <v>1.7710769353846154</v>
      </c>
      <c r="O32" s="11">
        <f>IFERROR(H32/I32,0)</f>
        <v>5.0052174260869569</v>
      </c>
      <c r="P32" s="11">
        <f>IFERROR((J32-H32)/H32,0)</f>
        <v>15.98227924265268</v>
      </c>
    </row>
    <row r="33" spans="1:16">
      <c r="A33">
        <v>1121290</v>
      </c>
      <c r="B33" t="s">
        <v>162</v>
      </c>
      <c r="C33" t="s">
        <v>2</v>
      </c>
      <c r="D33" t="s">
        <v>1</v>
      </c>
      <c r="E33" s="14">
        <v>10</v>
      </c>
      <c r="F33" s="14">
        <v>770749</v>
      </c>
      <c r="G33" s="14">
        <v>100</v>
      </c>
      <c r="H33" s="13">
        <v>189.12999840000001</v>
      </c>
      <c r="I33" s="14">
        <v>23</v>
      </c>
      <c r="J33" s="11">
        <f>I33*85</f>
        <v>1955</v>
      </c>
      <c r="K33" s="11">
        <f>J33-H33</f>
        <v>1765.8700016</v>
      </c>
      <c r="L33" s="10">
        <f>G33/F33</f>
        <v>1.2974392441637939E-4</v>
      </c>
      <c r="M33" s="14">
        <f>IFERROR(ROUND(I33/G33,2),0)</f>
        <v>0.23</v>
      </c>
      <c r="N33" s="11">
        <f>IFERROR(H33/G33,0)</f>
        <v>1.891299984</v>
      </c>
      <c r="O33" s="11">
        <f>IFERROR(H33/I33,0)</f>
        <v>8.2230434086956521</v>
      </c>
      <c r="P33" s="11">
        <f>IFERROR((J33-H33)/H33,0)</f>
        <v>9.3368054594135703</v>
      </c>
    </row>
    <row r="34" spans="1:16">
      <c r="A34">
        <v>1121378</v>
      </c>
      <c r="B34" t="s">
        <v>162</v>
      </c>
      <c r="C34" t="s">
        <v>2</v>
      </c>
      <c r="D34" t="s">
        <v>1</v>
      </c>
      <c r="E34" s="14">
        <v>29</v>
      </c>
      <c r="F34" s="14">
        <v>1040330</v>
      </c>
      <c r="G34" s="14">
        <v>147</v>
      </c>
      <c r="H34" s="13">
        <v>254.2500038</v>
      </c>
      <c r="I34" s="14">
        <v>23</v>
      </c>
      <c r="J34" s="11">
        <f>I34*85</f>
        <v>1955</v>
      </c>
      <c r="K34" s="11">
        <f>J34-H34</f>
        <v>1700.7499961999999</v>
      </c>
      <c r="L34" s="10">
        <f>G34/F34</f>
        <v>1.4130131785106649E-4</v>
      </c>
      <c r="M34" s="14">
        <f>IFERROR(ROUND(I34/G34,2),0)</f>
        <v>0.16</v>
      </c>
      <c r="N34" s="11">
        <f>IFERROR(H34/G34,0)</f>
        <v>1.7295918625850339</v>
      </c>
      <c r="O34" s="11">
        <f>IFERROR(H34/I34,0)</f>
        <v>11.054347991304349</v>
      </c>
      <c r="P34" s="11">
        <f>IFERROR((J34-H34)/H34,0)</f>
        <v>6.6892820876331482</v>
      </c>
    </row>
    <row r="35" spans="1:16">
      <c r="A35">
        <v>1314360</v>
      </c>
      <c r="B35" t="s">
        <v>162</v>
      </c>
      <c r="C35" t="s">
        <v>0</v>
      </c>
      <c r="D35" t="s">
        <v>5</v>
      </c>
      <c r="E35" s="14">
        <v>104</v>
      </c>
      <c r="F35" s="14">
        <v>442919</v>
      </c>
      <c r="G35" s="14">
        <v>76</v>
      </c>
      <c r="H35" s="13">
        <v>110.7800021</v>
      </c>
      <c r="I35" s="14">
        <v>23</v>
      </c>
      <c r="J35" s="11">
        <f>I35*85</f>
        <v>1955</v>
      </c>
      <c r="K35" s="11">
        <f>J35-H35</f>
        <v>1844.2199979</v>
      </c>
      <c r="L35" s="10">
        <f>G35/F35</f>
        <v>1.7158893612601852E-4</v>
      </c>
      <c r="M35" s="14">
        <f>IFERROR(ROUND(I35/G35,2),0)</f>
        <v>0.3</v>
      </c>
      <c r="N35" s="11">
        <f>IFERROR(H35/G35,0)</f>
        <v>1.4576316065789474</v>
      </c>
      <c r="O35" s="11">
        <f>IFERROR(H35/I35,0)</f>
        <v>4.816521830434783</v>
      </c>
      <c r="P35" s="11">
        <f>IFERROR((J35-H35)/H35,0)</f>
        <v>16.647589483120257</v>
      </c>
    </row>
    <row r="36" spans="1:16">
      <c r="A36">
        <v>1314306</v>
      </c>
      <c r="B36" t="s">
        <v>162</v>
      </c>
      <c r="C36" t="s">
        <v>0</v>
      </c>
      <c r="D36" t="s">
        <v>1</v>
      </c>
      <c r="E36" s="14">
        <v>110</v>
      </c>
      <c r="F36" s="14">
        <v>310988</v>
      </c>
      <c r="G36" s="14">
        <v>34</v>
      </c>
      <c r="H36" s="13">
        <v>46.669999359999998</v>
      </c>
      <c r="I36" s="14">
        <v>22</v>
      </c>
      <c r="J36" s="11">
        <f>I36*85</f>
        <v>1870</v>
      </c>
      <c r="K36" s="11">
        <f>J36-H36</f>
        <v>1823.33000064</v>
      </c>
      <c r="L36" s="10">
        <f>G36/F36</f>
        <v>1.0932897732388388E-4</v>
      </c>
      <c r="M36" s="14">
        <f>IFERROR(ROUND(I36/G36,2),0)</f>
        <v>0.65</v>
      </c>
      <c r="N36" s="11">
        <f>IFERROR(H36/G36,0)</f>
        <v>1.3726470399999999</v>
      </c>
      <c r="O36" s="11">
        <f>IFERROR(H36/I36,0)</f>
        <v>2.1213636072727273</v>
      </c>
      <c r="P36" s="11">
        <f>IFERROR((J36-H36)/H36,0)</f>
        <v>39.068567080434605</v>
      </c>
    </row>
    <row r="37" spans="1:16">
      <c r="A37">
        <v>1121096</v>
      </c>
      <c r="B37" t="s">
        <v>162</v>
      </c>
      <c r="C37" t="s">
        <v>0</v>
      </c>
      <c r="D37" t="s">
        <v>1</v>
      </c>
      <c r="E37" s="14">
        <v>10</v>
      </c>
      <c r="F37" s="14">
        <v>750060</v>
      </c>
      <c r="G37" s="14">
        <v>86</v>
      </c>
      <c r="H37" s="13">
        <v>161.90999909999999</v>
      </c>
      <c r="I37" s="14">
        <v>21</v>
      </c>
      <c r="J37" s="11">
        <f>I37*85</f>
        <v>1785</v>
      </c>
      <c r="K37" s="11">
        <f>J37-H37</f>
        <v>1623.0900008999999</v>
      </c>
      <c r="L37" s="10">
        <f>G37/F37</f>
        <v>1.1465749406714129E-4</v>
      </c>
      <c r="M37" s="14">
        <f>IFERROR(ROUND(I37/G37,2),0)</f>
        <v>0.24</v>
      </c>
      <c r="N37" s="11">
        <f>IFERROR(H37/G37,0)</f>
        <v>1.8826744081395348</v>
      </c>
      <c r="O37" s="11">
        <f>IFERROR(H37/I37,0)</f>
        <v>7.7099999571428572</v>
      </c>
      <c r="P37" s="11">
        <f>IFERROR((J37-H37)/H37,0)</f>
        <v>10.024643381645229</v>
      </c>
    </row>
    <row r="38" spans="1:16">
      <c r="A38">
        <v>1121451</v>
      </c>
      <c r="B38" t="s">
        <v>162</v>
      </c>
      <c r="C38" t="s">
        <v>3</v>
      </c>
      <c r="D38" t="s">
        <v>1</v>
      </c>
      <c r="E38" s="14">
        <v>16</v>
      </c>
      <c r="F38" s="14">
        <v>1117385</v>
      </c>
      <c r="G38" s="14">
        <v>147</v>
      </c>
      <c r="H38" s="13">
        <v>260.06999839999997</v>
      </c>
      <c r="I38" s="14">
        <v>21</v>
      </c>
      <c r="J38" s="11">
        <f>I38*85</f>
        <v>1785</v>
      </c>
      <c r="K38" s="11">
        <f>J38-H38</f>
        <v>1524.9300016</v>
      </c>
      <c r="L38" s="10">
        <f>G38/F38</f>
        <v>1.3155716248204513E-4</v>
      </c>
      <c r="M38" s="14">
        <f>IFERROR(ROUND(I38/G38,2),0)</f>
        <v>0.14000000000000001</v>
      </c>
      <c r="N38" s="11">
        <f>IFERROR(H38/G38,0)</f>
        <v>1.7691836625850339</v>
      </c>
      <c r="O38" s="11">
        <f>IFERROR(H38/I38,0)</f>
        <v>12.384285638095237</v>
      </c>
      <c r="P38" s="11">
        <f>IFERROR((J38-H38)/H38,0)</f>
        <v>5.8635367823342142</v>
      </c>
    </row>
    <row r="39" spans="1:16">
      <c r="A39">
        <v>1121976</v>
      </c>
      <c r="B39" t="s">
        <v>162</v>
      </c>
      <c r="C39" t="s">
        <v>2</v>
      </c>
      <c r="D39" t="s">
        <v>5</v>
      </c>
      <c r="E39" s="14">
        <v>29</v>
      </c>
      <c r="F39" s="14">
        <v>707260</v>
      </c>
      <c r="G39" s="14">
        <v>135</v>
      </c>
      <c r="H39" s="13">
        <v>210.8200028</v>
      </c>
      <c r="I39" s="14">
        <v>21</v>
      </c>
      <c r="J39" s="11">
        <f>I39*85</f>
        <v>1785</v>
      </c>
      <c r="K39" s="11">
        <f>J39-H39</f>
        <v>1574.1799971999999</v>
      </c>
      <c r="L39" s="10">
        <f>G39/F39</f>
        <v>1.9087747080281651E-4</v>
      </c>
      <c r="M39" s="14">
        <f>IFERROR(ROUND(I39/G39,2),0)</f>
        <v>0.16</v>
      </c>
      <c r="N39" s="11">
        <f>IFERROR(H39/G39,0)</f>
        <v>1.5616296503703704</v>
      </c>
      <c r="O39" s="11">
        <f>IFERROR(H39/I39,0)</f>
        <v>10.039047752380952</v>
      </c>
      <c r="P39" s="11">
        <f>IFERROR((J39-H39)/H39,0)</f>
        <v>7.4669385081708191</v>
      </c>
    </row>
    <row r="40" spans="1:16">
      <c r="A40">
        <v>1122273</v>
      </c>
      <c r="B40" t="s">
        <v>162</v>
      </c>
      <c r="C40" t="s">
        <v>4</v>
      </c>
      <c r="D40" t="s">
        <v>5</v>
      </c>
      <c r="E40" s="14">
        <v>29</v>
      </c>
      <c r="F40" s="14">
        <v>1097966</v>
      </c>
      <c r="G40" s="14">
        <v>266</v>
      </c>
      <c r="H40" s="13">
        <v>369.069997</v>
      </c>
      <c r="I40" s="14">
        <v>21</v>
      </c>
      <c r="J40" s="11">
        <f>I40*85</f>
        <v>1785</v>
      </c>
      <c r="K40" s="11">
        <f>J40-H40</f>
        <v>1415.9300029999999</v>
      </c>
      <c r="L40" s="10">
        <f>G40/F40</f>
        <v>2.422661539610516E-4</v>
      </c>
      <c r="M40" s="14">
        <f>IFERROR(ROUND(I40/G40,2),0)</f>
        <v>0.08</v>
      </c>
      <c r="N40" s="11">
        <f>IFERROR(H40/G40,0)</f>
        <v>1.3874811917293233</v>
      </c>
      <c r="O40" s="11">
        <f>IFERROR(H40/I40,0)</f>
        <v>17.57476176190476</v>
      </c>
      <c r="P40" s="11">
        <f>IFERROR((J40-H40)/H40,0)</f>
        <v>3.8364809236986011</v>
      </c>
    </row>
    <row r="41" spans="1:16">
      <c r="A41">
        <v>1121116</v>
      </c>
      <c r="B41" t="s">
        <v>162</v>
      </c>
      <c r="C41" t="s">
        <v>0</v>
      </c>
      <c r="D41" t="s">
        <v>1</v>
      </c>
      <c r="E41" s="14">
        <v>19</v>
      </c>
      <c r="F41" s="14">
        <v>572450</v>
      </c>
      <c r="G41" s="14">
        <v>89</v>
      </c>
      <c r="H41" s="13">
        <v>157.32999799999999</v>
      </c>
      <c r="I41" s="14">
        <v>20</v>
      </c>
      <c r="J41" s="11">
        <f>I41*85</f>
        <v>1700</v>
      </c>
      <c r="K41" s="11">
        <f>J41-H41</f>
        <v>1542.6700020000001</v>
      </c>
      <c r="L41" s="10">
        <f>G41/F41</f>
        <v>1.5547209363263168E-4</v>
      </c>
      <c r="M41" s="14">
        <f>IFERROR(ROUND(I41/G41,2),0)</f>
        <v>0.22</v>
      </c>
      <c r="N41" s="11">
        <f>IFERROR(H41/G41,0)</f>
        <v>1.7677527865168539</v>
      </c>
      <c r="O41" s="11">
        <f>IFERROR(H41/I41,0)</f>
        <v>7.8664998999999991</v>
      </c>
      <c r="P41" s="11">
        <f>IFERROR((J41-H41)/H41,0)</f>
        <v>9.8053138092584238</v>
      </c>
    </row>
    <row r="42" spans="1:16">
      <c r="A42">
        <v>1121207</v>
      </c>
      <c r="B42" t="s">
        <v>162</v>
      </c>
      <c r="C42" t="s">
        <v>0</v>
      </c>
      <c r="D42" t="s">
        <v>1</v>
      </c>
      <c r="E42" s="14">
        <v>29</v>
      </c>
      <c r="F42" s="14">
        <v>374175</v>
      </c>
      <c r="G42" s="14">
        <v>38</v>
      </c>
      <c r="H42" s="13">
        <v>63.320001009999999</v>
      </c>
      <c r="I42" s="14">
        <v>20</v>
      </c>
      <c r="J42" s="11">
        <f>I42*85</f>
        <v>1700</v>
      </c>
      <c r="K42" s="11">
        <f>J42-H42</f>
        <v>1636.6799989900001</v>
      </c>
      <c r="L42" s="10">
        <f>G42/F42</f>
        <v>1.0155675820137636E-4</v>
      </c>
      <c r="M42" s="14">
        <f>IFERROR(ROUND(I42/G42,2),0)</f>
        <v>0.53</v>
      </c>
      <c r="N42" s="11">
        <f>IFERROR(H42/G42,0)</f>
        <v>1.6663158160526315</v>
      </c>
      <c r="O42" s="11">
        <f>IFERROR(H42/I42,0)</f>
        <v>3.1660000505000001</v>
      </c>
      <c r="P42" s="11">
        <f>IFERROR((J42-H42)/H42,0)</f>
        <v>25.847756994374059</v>
      </c>
    </row>
    <row r="43" spans="1:16">
      <c r="A43">
        <v>1121856</v>
      </c>
      <c r="B43" t="s">
        <v>162</v>
      </c>
      <c r="C43" t="s">
        <v>0</v>
      </c>
      <c r="D43" t="s">
        <v>5</v>
      </c>
      <c r="E43" s="14">
        <v>63</v>
      </c>
      <c r="F43" s="14">
        <v>1296189</v>
      </c>
      <c r="G43" s="14">
        <v>212</v>
      </c>
      <c r="H43" s="13">
        <v>343.25999439999998</v>
      </c>
      <c r="I43" s="14">
        <v>20</v>
      </c>
      <c r="J43" s="11">
        <f>I43*85</f>
        <v>1700</v>
      </c>
      <c r="K43" s="11">
        <f>J43-H43</f>
        <v>1356.7400056000001</v>
      </c>
      <c r="L43" s="10">
        <f>G43/F43</f>
        <v>1.6355639493931826E-4</v>
      </c>
      <c r="M43" s="14">
        <f>IFERROR(ROUND(I43/G43,2),0)</f>
        <v>0.09</v>
      </c>
      <c r="N43" s="11">
        <f>IFERROR(H43/G43,0)</f>
        <v>1.619150916981132</v>
      </c>
      <c r="O43" s="11">
        <f>IFERROR(H43/I43,0)</f>
        <v>17.162999719999998</v>
      </c>
      <c r="P43" s="11">
        <f>IFERROR((J43-H43)/H43,0)</f>
        <v>3.9525142100276169</v>
      </c>
    </row>
    <row r="44" spans="1:16">
      <c r="A44">
        <v>1314303</v>
      </c>
      <c r="B44" t="s">
        <v>162</v>
      </c>
      <c r="C44" t="s">
        <v>0</v>
      </c>
      <c r="D44" t="s">
        <v>1</v>
      </c>
      <c r="E44" s="14">
        <v>107</v>
      </c>
      <c r="F44" s="14">
        <v>496760</v>
      </c>
      <c r="G44" s="14">
        <v>42</v>
      </c>
      <c r="H44" s="13">
        <v>61.009999039999997</v>
      </c>
      <c r="I44" s="14">
        <v>20</v>
      </c>
      <c r="J44" s="11">
        <f>I44*85</f>
        <v>1700</v>
      </c>
      <c r="K44" s="11">
        <f>J44-H44</f>
        <v>1638.9900009600001</v>
      </c>
      <c r="L44" s="10">
        <f>G44/F44</f>
        <v>8.4547870198888793E-5</v>
      </c>
      <c r="M44" s="14">
        <f>IFERROR(ROUND(I44/G44,2),0)</f>
        <v>0.48</v>
      </c>
      <c r="N44" s="11">
        <f>IFERROR(H44/G44,0)</f>
        <v>1.4526190247619046</v>
      </c>
      <c r="O44" s="11">
        <f>IFERROR(H44/I44,0)</f>
        <v>3.050499952</v>
      </c>
      <c r="P44" s="11">
        <f>IFERROR((J44-H44)/H44,0)</f>
        <v>26.864284981965476</v>
      </c>
    </row>
    <row r="45" spans="1:16">
      <c r="A45">
        <v>1314405</v>
      </c>
      <c r="B45" t="s">
        <v>162</v>
      </c>
      <c r="C45" t="s">
        <v>4</v>
      </c>
      <c r="D45" t="s">
        <v>5</v>
      </c>
      <c r="E45" s="14">
        <v>104</v>
      </c>
      <c r="F45" s="14">
        <v>558666</v>
      </c>
      <c r="G45" s="14">
        <v>110</v>
      </c>
      <c r="H45" s="13">
        <v>162.63999749999999</v>
      </c>
      <c r="I45" s="14">
        <v>20</v>
      </c>
      <c r="J45" s="11">
        <f>I45*85</f>
        <v>1700</v>
      </c>
      <c r="K45" s="11">
        <f>J45-H45</f>
        <v>1537.3600025000001</v>
      </c>
      <c r="L45" s="10">
        <f>G45/F45</f>
        <v>1.9689760966301869E-4</v>
      </c>
      <c r="M45" s="14">
        <f>IFERROR(ROUND(I45/G45,2),0)</f>
        <v>0.18</v>
      </c>
      <c r="N45" s="11">
        <f>IFERROR(H45/G45,0)</f>
        <v>1.4785454318181817</v>
      </c>
      <c r="O45" s="11">
        <f>IFERROR(H45/I45,0)</f>
        <v>8.131999875</v>
      </c>
      <c r="P45" s="11">
        <f>IFERROR((J45-H45)/H45,0)</f>
        <v>9.4525333628340729</v>
      </c>
    </row>
    <row r="46" spans="1:16">
      <c r="A46">
        <v>1121113</v>
      </c>
      <c r="B46" t="s">
        <v>162</v>
      </c>
      <c r="C46" t="s">
        <v>0</v>
      </c>
      <c r="D46" t="s">
        <v>1</v>
      </c>
      <c r="E46" s="14">
        <v>18</v>
      </c>
      <c r="F46" s="14">
        <v>894911</v>
      </c>
      <c r="G46" s="14">
        <v>120</v>
      </c>
      <c r="H46" s="13">
        <v>215.83999940000001</v>
      </c>
      <c r="I46" s="14">
        <v>19</v>
      </c>
      <c r="J46" s="11">
        <f>I46*85</f>
        <v>1615</v>
      </c>
      <c r="K46" s="11">
        <f>J46-H46</f>
        <v>1399.1600005999999</v>
      </c>
      <c r="L46" s="10">
        <f>G46/F46</f>
        <v>1.3409154653367766E-4</v>
      </c>
      <c r="M46" s="14">
        <f>IFERROR(ROUND(I46/G46,2),0)</f>
        <v>0.16</v>
      </c>
      <c r="N46" s="11">
        <f>IFERROR(H46/G46,0)</f>
        <v>1.7986666616666667</v>
      </c>
      <c r="O46" s="11">
        <f>IFERROR(H46/I46,0)</f>
        <v>11.359999968421054</v>
      </c>
      <c r="P46" s="11">
        <f>IFERROR((J46-H46)/H46,0)</f>
        <v>6.4823943869970186</v>
      </c>
    </row>
    <row r="47" spans="1:16">
      <c r="A47">
        <v>1121164</v>
      </c>
      <c r="B47" t="s">
        <v>162</v>
      </c>
      <c r="C47" t="s">
        <v>0</v>
      </c>
      <c r="D47" t="s">
        <v>1</v>
      </c>
      <c r="E47" s="14">
        <v>25</v>
      </c>
      <c r="F47" s="14">
        <v>570699</v>
      </c>
      <c r="G47" s="14">
        <v>80</v>
      </c>
      <c r="H47" s="13">
        <v>138.7699997</v>
      </c>
      <c r="I47" s="14">
        <v>19</v>
      </c>
      <c r="J47" s="11">
        <f>I47*85</f>
        <v>1615</v>
      </c>
      <c r="K47" s="11">
        <f>J47-H47</f>
        <v>1476.2300003</v>
      </c>
      <c r="L47" s="10">
        <f>G47/F47</f>
        <v>1.4017897350442177E-4</v>
      </c>
      <c r="M47" s="14">
        <f>IFERROR(ROUND(I47/G47,2),0)</f>
        <v>0.24</v>
      </c>
      <c r="N47" s="11">
        <f>IFERROR(H47/G47,0)</f>
        <v>1.73462499625</v>
      </c>
      <c r="O47" s="11">
        <f>IFERROR(H47/I47,0)</f>
        <v>7.3036841947368423</v>
      </c>
      <c r="P47" s="11">
        <f>IFERROR((J47-H47)/H47,0)</f>
        <v>10.637962120713329</v>
      </c>
    </row>
    <row r="48" spans="1:16">
      <c r="A48">
        <v>1121361</v>
      </c>
      <c r="B48" t="s">
        <v>162</v>
      </c>
      <c r="C48" t="s">
        <v>2</v>
      </c>
      <c r="D48" t="s">
        <v>1</v>
      </c>
      <c r="E48" s="14">
        <v>27</v>
      </c>
      <c r="F48" s="14">
        <v>685781</v>
      </c>
      <c r="G48" s="14">
        <v>103</v>
      </c>
      <c r="H48" s="13">
        <v>177.88999920000001</v>
      </c>
      <c r="I48" s="14">
        <v>19</v>
      </c>
      <c r="J48" s="11">
        <f>I48*85</f>
        <v>1615</v>
      </c>
      <c r="K48" s="11">
        <f>J48-H48</f>
        <v>1437.1100008000001</v>
      </c>
      <c r="L48" s="10">
        <f>G48/F48</f>
        <v>1.5019372073592007E-4</v>
      </c>
      <c r="M48" s="14">
        <f>IFERROR(ROUND(I48/G48,2),0)</f>
        <v>0.18</v>
      </c>
      <c r="N48" s="11">
        <f>IFERROR(H48/G48,0)</f>
        <v>1.7270873708737864</v>
      </c>
      <c r="O48" s="11">
        <f>IFERROR(H48/I48,0)</f>
        <v>9.3626315368421054</v>
      </c>
      <c r="P48" s="11">
        <f>IFERROR((J48-H48)/H48,0)</f>
        <v>8.0786441467362717</v>
      </c>
    </row>
    <row r="49" spans="1:16">
      <c r="A49">
        <v>1121373</v>
      </c>
      <c r="B49" t="s">
        <v>162</v>
      </c>
      <c r="C49" t="s">
        <v>2</v>
      </c>
      <c r="D49" t="s">
        <v>1</v>
      </c>
      <c r="E49" s="14">
        <v>29</v>
      </c>
      <c r="F49" s="14">
        <v>492784</v>
      </c>
      <c r="G49" s="14">
        <v>56</v>
      </c>
      <c r="H49" s="13">
        <v>95.510001299999999</v>
      </c>
      <c r="I49" s="14">
        <v>19</v>
      </c>
      <c r="J49" s="11">
        <f>I49*85</f>
        <v>1615</v>
      </c>
      <c r="K49" s="11">
        <f>J49-H49</f>
        <v>1519.4899986999999</v>
      </c>
      <c r="L49" s="10">
        <f>G49/F49</f>
        <v>1.136400532484821E-4</v>
      </c>
      <c r="M49" s="14">
        <f>IFERROR(ROUND(I49/G49,2),0)</f>
        <v>0.34</v>
      </c>
      <c r="N49" s="11">
        <f>IFERROR(H49/G49,0)</f>
        <v>1.7055357375</v>
      </c>
      <c r="O49" s="11">
        <f>IFERROR(H49/I49,0)</f>
        <v>5.0268421736842104</v>
      </c>
      <c r="P49" s="11">
        <f>IFERROR((J49-H49)/H49,0)</f>
        <v>15.909223934855081</v>
      </c>
    </row>
    <row r="50" spans="1:16">
      <c r="A50">
        <v>1122262</v>
      </c>
      <c r="B50" t="s">
        <v>162</v>
      </c>
      <c r="C50" t="s">
        <v>4</v>
      </c>
      <c r="D50" t="s">
        <v>5</v>
      </c>
      <c r="E50" s="14">
        <v>27</v>
      </c>
      <c r="F50" s="14">
        <v>1055017</v>
      </c>
      <c r="G50" s="14">
        <v>265</v>
      </c>
      <c r="H50" s="13">
        <v>380.65999520000003</v>
      </c>
      <c r="I50" s="14">
        <v>19</v>
      </c>
      <c r="J50" s="11">
        <f>I50*85</f>
        <v>1615</v>
      </c>
      <c r="K50" s="11">
        <f>J50-H50</f>
        <v>1234.3400047999999</v>
      </c>
      <c r="L50" s="10">
        <f>G50/F50</f>
        <v>2.5118078666030975E-4</v>
      </c>
      <c r="M50" s="14">
        <f>IFERROR(ROUND(I50/G50,2),0)</f>
        <v>7.0000000000000007E-2</v>
      </c>
      <c r="N50" s="11">
        <f>IFERROR(H50/G50,0)</f>
        <v>1.4364528120754718</v>
      </c>
      <c r="O50" s="11">
        <f>IFERROR(H50/I50,0)</f>
        <v>20.034736589473685</v>
      </c>
      <c r="P50" s="11">
        <f>IFERROR((J50-H50)/H50,0)</f>
        <v>3.2426312729591498</v>
      </c>
    </row>
    <row r="51" spans="1:16">
      <c r="A51">
        <v>1121102</v>
      </c>
      <c r="B51" t="s">
        <v>162</v>
      </c>
      <c r="C51" t="s">
        <v>0</v>
      </c>
      <c r="D51" t="s">
        <v>1</v>
      </c>
      <c r="E51" s="14">
        <v>15</v>
      </c>
      <c r="F51" s="14">
        <v>357856</v>
      </c>
      <c r="G51" s="14">
        <v>30</v>
      </c>
      <c r="H51" s="13">
        <v>52.970000149999997</v>
      </c>
      <c r="I51" s="14">
        <v>18</v>
      </c>
      <c r="J51" s="11">
        <f>I51*85</f>
        <v>1530</v>
      </c>
      <c r="K51" s="11">
        <f>J51-H51</f>
        <v>1477.02999985</v>
      </c>
      <c r="L51" s="10">
        <f>G51/F51</f>
        <v>8.3832603058213358E-5</v>
      </c>
      <c r="M51" s="14">
        <f>IFERROR(ROUND(I51/G51,2),0)</f>
        <v>0.6</v>
      </c>
      <c r="N51" s="11">
        <f>IFERROR(H51/G51,0)</f>
        <v>1.7656666716666665</v>
      </c>
      <c r="O51" s="11">
        <f>IFERROR(H51/I51,0)</f>
        <v>2.9427777861111108</v>
      </c>
      <c r="P51" s="11">
        <f>IFERROR((J51-H51)/H51,0)</f>
        <v>27.884274035630714</v>
      </c>
    </row>
    <row r="52" spans="1:16">
      <c r="A52">
        <v>1121292</v>
      </c>
      <c r="B52" t="s">
        <v>162</v>
      </c>
      <c r="C52" t="s">
        <v>2</v>
      </c>
      <c r="D52" t="s">
        <v>1</v>
      </c>
      <c r="E52" s="14">
        <v>10</v>
      </c>
      <c r="F52" s="14">
        <v>362296</v>
      </c>
      <c r="G52" s="14">
        <v>39</v>
      </c>
      <c r="H52" s="13">
        <v>67.770001289999996</v>
      </c>
      <c r="I52" s="14">
        <v>18</v>
      </c>
      <c r="J52" s="11">
        <f>I52*85</f>
        <v>1530</v>
      </c>
      <c r="K52" s="11">
        <f>J52-H52</f>
        <v>1462.22999871</v>
      </c>
      <c r="L52" s="10">
        <f>G52/F52</f>
        <v>1.0764678605339281E-4</v>
      </c>
      <c r="M52" s="14">
        <f>IFERROR(ROUND(I52/G52,2),0)</f>
        <v>0.46</v>
      </c>
      <c r="N52" s="11">
        <f>IFERROR(H52/G52,0)</f>
        <v>1.7376923407692306</v>
      </c>
      <c r="O52" s="11">
        <f>IFERROR(H52/I52,0)</f>
        <v>3.7650000716666665</v>
      </c>
      <c r="P52" s="11">
        <f>IFERROR((J52-H52)/H52,0)</f>
        <v>21.576360792039171</v>
      </c>
    </row>
    <row r="53" spans="1:16">
      <c r="A53">
        <v>1121316</v>
      </c>
      <c r="B53" t="s">
        <v>162</v>
      </c>
      <c r="C53" t="s">
        <v>2</v>
      </c>
      <c r="D53" t="s">
        <v>1</v>
      </c>
      <c r="E53" s="14">
        <v>19</v>
      </c>
      <c r="F53" s="14">
        <v>447952</v>
      </c>
      <c r="G53" s="14">
        <v>68</v>
      </c>
      <c r="H53" s="13">
        <v>131.5799983</v>
      </c>
      <c r="I53" s="14">
        <v>18</v>
      </c>
      <c r="J53" s="11">
        <f>I53*85</f>
        <v>1530</v>
      </c>
      <c r="K53" s="11">
        <f>J53-H53</f>
        <v>1398.4200017000001</v>
      </c>
      <c r="L53" s="10">
        <f>G53/F53</f>
        <v>1.5180197878344109E-4</v>
      </c>
      <c r="M53" s="14">
        <f>IFERROR(ROUND(I53/G53,2),0)</f>
        <v>0.26</v>
      </c>
      <c r="N53" s="11">
        <f>IFERROR(H53/G53,0)</f>
        <v>1.934999975</v>
      </c>
      <c r="O53" s="11">
        <f>IFERROR(H53/I53,0)</f>
        <v>7.3099999055555553</v>
      </c>
      <c r="P53" s="11">
        <f>IFERROR((J53-H53)/H53,0)</f>
        <v>10.627907126975545</v>
      </c>
    </row>
    <row r="54" spans="1:16">
      <c r="A54">
        <v>1121415</v>
      </c>
      <c r="B54" t="s">
        <v>162</v>
      </c>
      <c r="C54" t="s">
        <v>2</v>
      </c>
      <c r="D54" t="s">
        <v>1</v>
      </c>
      <c r="E54" s="14">
        <v>65</v>
      </c>
      <c r="F54" s="14">
        <v>113501</v>
      </c>
      <c r="G54" s="14">
        <v>26</v>
      </c>
      <c r="H54" s="13">
        <v>38.440000769999997</v>
      </c>
      <c r="I54" s="14">
        <v>18</v>
      </c>
      <c r="J54" s="11">
        <f>I54*85</f>
        <v>1530</v>
      </c>
      <c r="K54" s="11">
        <f>J54-H54</f>
        <v>1491.5599992299999</v>
      </c>
      <c r="L54" s="10">
        <f>G54/F54</f>
        <v>2.2907287160465545E-4</v>
      </c>
      <c r="M54" s="14">
        <f>IFERROR(ROUND(I54/G54,2),0)</f>
        <v>0.69</v>
      </c>
      <c r="N54" s="11">
        <f>IFERROR(H54/G54,0)</f>
        <v>1.4784615680769231</v>
      </c>
      <c r="O54" s="11">
        <f>IFERROR(H54/I54,0)</f>
        <v>2.1355555983333332</v>
      </c>
      <c r="P54" s="11">
        <f>IFERROR((J54-H54)/H54,0)</f>
        <v>38.802288484709621</v>
      </c>
    </row>
    <row r="55" spans="1:16">
      <c r="A55">
        <v>1121605</v>
      </c>
      <c r="B55" t="s">
        <v>162</v>
      </c>
      <c r="C55" t="s">
        <v>4</v>
      </c>
      <c r="D55" t="s">
        <v>1</v>
      </c>
      <c r="E55" s="14">
        <v>16</v>
      </c>
      <c r="F55" s="14">
        <v>1228924</v>
      </c>
      <c r="G55" s="14">
        <v>190</v>
      </c>
      <c r="H55" s="13">
        <v>318.97000320000001</v>
      </c>
      <c r="I55" s="14">
        <v>18</v>
      </c>
      <c r="J55" s="11">
        <f>I55*85</f>
        <v>1530</v>
      </c>
      <c r="K55" s="11">
        <f>J55-H55</f>
        <v>1211.0299967999999</v>
      </c>
      <c r="L55" s="10">
        <f>G55/F55</f>
        <v>1.5460679423625871E-4</v>
      </c>
      <c r="M55" s="14">
        <f>IFERROR(ROUND(I55/G55,2),0)</f>
        <v>0.09</v>
      </c>
      <c r="N55" s="11">
        <f>IFERROR(H55/G55,0)</f>
        <v>1.6787894905263159</v>
      </c>
      <c r="O55" s="11">
        <f>IFERROR(H55/I55,0)</f>
        <v>17.720555733333335</v>
      </c>
      <c r="P55" s="11">
        <f>IFERROR((J55-H55)/H55,0)</f>
        <v>3.7966892957036529</v>
      </c>
    </row>
    <row r="56" spans="1:16">
      <c r="A56">
        <v>1121828</v>
      </c>
      <c r="B56" t="s">
        <v>162</v>
      </c>
      <c r="C56" t="s">
        <v>0</v>
      </c>
      <c r="D56" t="s">
        <v>5</v>
      </c>
      <c r="E56" s="14">
        <v>29</v>
      </c>
      <c r="F56" s="14">
        <v>990404</v>
      </c>
      <c r="G56" s="14">
        <v>153</v>
      </c>
      <c r="H56" s="13">
        <v>226.53999920000001</v>
      </c>
      <c r="I56" s="14">
        <v>18</v>
      </c>
      <c r="J56" s="11">
        <f>I56*85</f>
        <v>1530</v>
      </c>
      <c r="K56" s="11">
        <f>J56-H56</f>
        <v>1303.4600008</v>
      </c>
      <c r="L56" s="10">
        <f>G56/F56</f>
        <v>1.5448241323742635E-4</v>
      </c>
      <c r="M56" s="14">
        <f>IFERROR(ROUND(I56/G56,2),0)</f>
        <v>0.12</v>
      </c>
      <c r="N56" s="11">
        <f>IFERROR(H56/G56,0)</f>
        <v>1.4806535895424837</v>
      </c>
      <c r="O56" s="11">
        <f>IFERROR(H56/I56,0)</f>
        <v>12.585555511111112</v>
      </c>
      <c r="P56" s="11">
        <f>IFERROR((J56-H56)/H56,0)</f>
        <v>5.7537741917675431</v>
      </c>
    </row>
    <row r="57" spans="1:16">
      <c r="A57">
        <v>1314392</v>
      </c>
      <c r="B57" t="s">
        <v>162</v>
      </c>
      <c r="C57" t="s">
        <v>3</v>
      </c>
      <c r="D57" t="s">
        <v>5</v>
      </c>
      <c r="E57" s="14">
        <v>106</v>
      </c>
      <c r="F57" s="14">
        <v>758340</v>
      </c>
      <c r="G57" s="14">
        <v>159</v>
      </c>
      <c r="H57" s="13">
        <v>233.11000200000001</v>
      </c>
      <c r="I57" s="14">
        <v>18</v>
      </c>
      <c r="J57" s="11">
        <f>I57*85</f>
        <v>1530</v>
      </c>
      <c r="K57" s="11">
        <f>J57-H57</f>
        <v>1296.8899980000001</v>
      </c>
      <c r="L57" s="10">
        <f>G57/F57</f>
        <v>2.0966848643088853E-4</v>
      </c>
      <c r="M57" s="14">
        <f>IFERROR(ROUND(I57/G57,2),0)</f>
        <v>0.11</v>
      </c>
      <c r="N57" s="11">
        <f>IFERROR(H57/G57,0)</f>
        <v>1.466100641509434</v>
      </c>
      <c r="O57" s="11">
        <f>IFERROR(H57/I57,0)</f>
        <v>12.950555666666666</v>
      </c>
      <c r="P57" s="11">
        <f>IFERROR((J57-H57)/H57,0)</f>
        <v>5.5634249361809882</v>
      </c>
    </row>
    <row r="58" spans="1:16">
      <c r="A58">
        <v>1121119</v>
      </c>
      <c r="B58" t="s">
        <v>162</v>
      </c>
      <c r="C58" t="s">
        <v>0</v>
      </c>
      <c r="D58" t="s">
        <v>1</v>
      </c>
      <c r="E58" s="14">
        <v>19</v>
      </c>
      <c r="F58" s="14">
        <v>345371</v>
      </c>
      <c r="G58" s="14">
        <v>54</v>
      </c>
      <c r="H58" s="13">
        <v>93.089999910000003</v>
      </c>
      <c r="I58" s="14">
        <v>17</v>
      </c>
      <c r="J58" s="11">
        <f>I58*85</f>
        <v>1445</v>
      </c>
      <c r="K58" s="11">
        <f>J58-H58</f>
        <v>1351.91000009</v>
      </c>
      <c r="L58" s="10">
        <f>G58/F58</f>
        <v>1.5635360235804395E-4</v>
      </c>
      <c r="M58" s="14">
        <f>IFERROR(ROUND(I58/G58,2),0)</f>
        <v>0.31</v>
      </c>
      <c r="N58" s="11">
        <f>IFERROR(H58/G58,0)</f>
        <v>1.7238888872222222</v>
      </c>
      <c r="O58" s="11">
        <f>IFERROR(H58/I58,0)</f>
        <v>5.4758823476470591</v>
      </c>
      <c r="P58" s="11">
        <f>IFERROR((J58-H58)/H58,0)</f>
        <v>14.522612540520305</v>
      </c>
    </row>
    <row r="59" spans="1:16">
      <c r="A59">
        <v>1121216</v>
      </c>
      <c r="B59" t="s">
        <v>162</v>
      </c>
      <c r="C59" t="s">
        <v>0</v>
      </c>
      <c r="D59" t="s">
        <v>1</v>
      </c>
      <c r="E59" s="14">
        <v>30</v>
      </c>
      <c r="F59" s="14">
        <v>198658</v>
      </c>
      <c r="G59" s="14">
        <v>30</v>
      </c>
      <c r="H59" s="13">
        <v>48.609999780000003</v>
      </c>
      <c r="I59" s="14">
        <v>17</v>
      </c>
      <c r="J59" s="11">
        <f>I59*85</f>
        <v>1445</v>
      </c>
      <c r="K59" s="11">
        <f>J59-H59</f>
        <v>1396.39000022</v>
      </c>
      <c r="L59" s="10">
        <f>G59/F59</f>
        <v>1.5101329923788621E-4</v>
      </c>
      <c r="M59" s="14">
        <f>IFERROR(ROUND(I59/G59,2),0)</f>
        <v>0.56999999999999995</v>
      </c>
      <c r="N59" s="11">
        <f>IFERROR(H59/G59,0)</f>
        <v>1.6203333260000001</v>
      </c>
      <c r="O59" s="11">
        <f>IFERROR(H59/I59,0)</f>
        <v>2.8594117517647062</v>
      </c>
      <c r="P59" s="11">
        <f>IFERROR((J59-H59)/H59,0)</f>
        <v>28.726393880679009</v>
      </c>
    </row>
    <row r="60" spans="1:16">
      <c r="A60">
        <v>1121262</v>
      </c>
      <c r="B60" t="s">
        <v>162</v>
      </c>
      <c r="C60" t="s">
        <v>0</v>
      </c>
      <c r="D60" t="s">
        <v>1</v>
      </c>
      <c r="E60" s="14">
        <v>64</v>
      </c>
      <c r="F60" s="14">
        <v>447420</v>
      </c>
      <c r="G60" s="14">
        <v>66</v>
      </c>
      <c r="H60" s="13">
        <v>110.23999910000001</v>
      </c>
      <c r="I60" s="14">
        <v>17</v>
      </c>
      <c r="J60" s="11">
        <f>I60*85</f>
        <v>1445</v>
      </c>
      <c r="K60" s="11">
        <f>J60-H60</f>
        <v>1334.7600009</v>
      </c>
      <c r="L60" s="10">
        <f>G60/F60</f>
        <v>1.4751240445219258E-4</v>
      </c>
      <c r="M60" s="14">
        <f>IFERROR(ROUND(I60/G60,2),0)</f>
        <v>0.26</v>
      </c>
      <c r="N60" s="11">
        <f>IFERROR(H60/G60,0)</f>
        <v>1.6703030166666668</v>
      </c>
      <c r="O60" s="11">
        <f>IFERROR(H60/I60,0)</f>
        <v>6.484705829411765</v>
      </c>
      <c r="P60" s="11">
        <f>IFERROR((J60-H60)/H60,0)</f>
        <v>12.107764983644671</v>
      </c>
    </row>
    <row r="61" spans="1:16">
      <c r="A61">
        <v>1121276</v>
      </c>
      <c r="B61" t="s">
        <v>162</v>
      </c>
      <c r="C61" t="s">
        <v>0</v>
      </c>
      <c r="D61" t="s">
        <v>1</v>
      </c>
      <c r="E61" s="14">
        <v>2</v>
      </c>
      <c r="F61" s="14">
        <v>240123</v>
      </c>
      <c r="G61" s="14">
        <v>38</v>
      </c>
      <c r="H61" s="13">
        <v>65.670001150000004</v>
      </c>
      <c r="I61" s="14">
        <v>17</v>
      </c>
      <c r="J61" s="11">
        <f>I61*85</f>
        <v>1445</v>
      </c>
      <c r="K61" s="11">
        <f>J61-H61</f>
        <v>1379.32999885</v>
      </c>
      <c r="L61" s="10">
        <f>G61/F61</f>
        <v>1.5825222906593704E-4</v>
      </c>
      <c r="M61" s="14">
        <f>IFERROR(ROUND(I61/G61,2),0)</f>
        <v>0.45</v>
      </c>
      <c r="N61" s="11">
        <f>IFERROR(H61/G61,0)</f>
        <v>1.7281579250000001</v>
      </c>
      <c r="O61" s="11">
        <f>IFERROR(H61/I61,0)</f>
        <v>3.8629412441176472</v>
      </c>
      <c r="P61" s="11">
        <f>IFERROR((J61-H61)/H61,0)</f>
        <v>21.003958804559879</v>
      </c>
    </row>
    <row r="62" spans="1:16">
      <c r="A62">
        <v>1121394</v>
      </c>
      <c r="B62" t="s">
        <v>162</v>
      </c>
      <c r="C62" t="s">
        <v>2</v>
      </c>
      <c r="D62" t="s">
        <v>1</v>
      </c>
      <c r="E62" s="14">
        <v>32</v>
      </c>
      <c r="F62" s="14">
        <v>461356</v>
      </c>
      <c r="G62" s="14">
        <v>64</v>
      </c>
      <c r="H62" s="13">
        <v>121.0999982</v>
      </c>
      <c r="I62" s="14">
        <v>17</v>
      </c>
      <c r="J62" s="11">
        <f>I62*85</f>
        <v>1445</v>
      </c>
      <c r="K62" s="11">
        <f>J62-H62</f>
        <v>1323.9000017999999</v>
      </c>
      <c r="L62" s="10">
        <f>G62/F62</f>
        <v>1.3872150790279091E-4</v>
      </c>
      <c r="M62" s="14">
        <f>IFERROR(ROUND(I62/G62,2),0)</f>
        <v>0.27</v>
      </c>
      <c r="N62" s="11">
        <f>IFERROR(H62/G62,0)</f>
        <v>1.892187471875</v>
      </c>
      <c r="O62" s="11">
        <f>IFERROR(H62/I62,0)</f>
        <v>7.1235293058823528</v>
      </c>
      <c r="P62" s="11">
        <f>IFERROR((J62-H62)/H62,0)</f>
        <v>10.932287543171903</v>
      </c>
    </row>
    <row r="63" spans="1:16">
      <c r="A63">
        <v>1121469</v>
      </c>
      <c r="B63" t="s">
        <v>162</v>
      </c>
      <c r="C63" t="s">
        <v>3</v>
      </c>
      <c r="D63" t="s">
        <v>1</v>
      </c>
      <c r="E63" s="14">
        <v>20</v>
      </c>
      <c r="F63" s="14">
        <v>399035</v>
      </c>
      <c r="G63" s="14">
        <v>75</v>
      </c>
      <c r="H63" s="13">
        <v>124.7999995</v>
      </c>
      <c r="I63" s="14">
        <v>17</v>
      </c>
      <c r="J63" s="11">
        <f>I63*85</f>
        <v>1445</v>
      </c>
      <c r="K63" s="11">
        <f>J63-H63</f>
        <v>1320.2000005</v>
      </c>
      <c r="L63" s="10">
        <f>G63/F63</f>
        <v>1.8795343766837497E-4</v>
      </c>
      <c r="M63" s="14">
        <f>IFERROR(ROUND(I63/G63,2),0)</f>
        <v>0.23</v>
      </c>
      <c r="N63" s="11">
        <f>IFERROR(H63/G63,0)</f>
        <v>1.6639999933333334</v>
      </c>
      <c r="O63" s="11">
        <f>IFERROR(H63/I63,0)</f>
        <v>7.3411764411764704</v>
      </c>
      <c r="P63" s="11">
        <f>IFERROR((J63-H63)/H63,0)</f>
        <v>10.578525687413965</v>
      </c>
    </row>
    <row r="64" spans="1:16">
      <c r="A64">
        <v>1121606</v>
      </c>
      <c r="B64" t="s">
        <v>162</v>
      </c>
      <c r="C64" t="s">
        <v>4</v>
      </c>
      <c r="D64" t="s">
        <v>1</v>
      </c>
      <c r="E64" s="14">
        <v>16</v>
      </c>
      <c r="F64" s="14">
        <v>938283</v>
      </c>
      <c r="G64" s="14">
        <v>134</v>
      </c>
      <c r="H64" s="13">
        <v>248.64000010000001</v>
      </c>
      <c r="I64" s="14">
        <v>17</v>
      </c>
      <c r="J64" s="11">
        <f>I64*85</f>
        <v>1445</v>
      </c>
      <c r="K64" s="11">
        <f>J64-H64</f>
        <v>1196.3599999</v>
      </c>
      <c r="L64" s="10">
        <f>G64/F64</f>
        <v>1.4281405503456846E-4</v>
      </c>
      <c r="M64" s="14">
        <f>IFERROR(ROUND(I64/G64,2),0)</f>
        <v>0.13</v>
      </c>
      <c r="N64" s="11">
        <f>IFERROR(H64/G64,0)</f>
        <v>1.8555223888059702</v>
      </c>
      <c r="O64" s="11">
        <f>IFERROR(H64/I64,0)</f>
        <v>14.62588235882353</v>
      </c>
      <c r="P64" s="11">
        <f>IFERROR((J64-H64)/H64,0)</f>
        <v>4.8116151842778256</v>
      </c>
    </row>
    <row r="65" spans="1:16">
      <c r="A65">
        <v>1122105</v>
      </c>
      <c r="B65" t="s">
        <v>162</v>
      </c>
      <c r="C65" t="s">
        <v>3</v>
      </c>
      <c r="D65" t="s">
        <v>5</v>
      </c>
      <c r="E65" s="14">
        <v>26</v>
      </c>
      <c r="F65" s="14">
        <v>303971</v>
      </c>
      <c r="G65" s="14">
        <v>77</v>
      </c>
      <c r="H65" s="13">
        <v>106.9299998</v>
      </c>
      <c r="I65" s="14">
        <v>17</v>
      </c>
      <c r="J65" s="11">
        <f>I65*85</f>
        <v>1445</v>
      </c>
      <c r="K65" s="11">
        <f>J65-H65</f>
        <v>1338.0700002000001</v>
      </c>
      <c r="L65" s="10">
        <f>G65/F65</f>
        <v>2.5331363847209108E-4</v>
      </c>
      <c r="M65" s="14">
        <f>IFERROR(ROUND(I65/G65,2),0)</f>
        <v>0.22</v>
      </c>
      <c r="N65" s="11">
        <f>IFERROR(H65/G65,0)</f>
        <v>1.3887012961038963</v>
      </c>
      <c r="O65" s="11">
        <f>IFERROR(H65/I65,0)</f>
        <v>6.2899999882352944</v>
      </c>
      <c r="P65" s="11">
        <f>IFERROR((J65-H65)/H65,0)</f>
        <v>12.513513538788953</v>
      </c>
    </row>
    <row r="66" spans="1:16">
      <c r="A66">
        <v>1121185</v>
      </c>
      <c r="B66" t="s">
        <v>162</v>
      </c>
      <c r="C66" t="s">
        <v>0</v>
      </c>
      <c r="D66" t="s">
        <v>1</v>
      </c>
      <c r="E66" s="14">
        <v>27</v>
      </c>
      <c r="F66" s="14">
        <v>260699</v>
      </c>
      <c r="G66" s="14">
        <v>31</v>
      </c>
      <c r="H66" s="13">
        <v>54.099998710000001</v>
      </c>
      <c r="I66" s="14">
        <v>16</v>
      </c>
      <c r="J66" s="11">
        <f>I66*85</f>
        <v>1360</v>
      </c>
      <c r="K66" s="11">
        <f>J66-H66</f>
        <v>1305.9000012900001</v>
      </c>
      <c r="L66" s="10">
        <f>G66/F66</f>
        <v>1.1891108136203054E-4</v>
      </c>
      <c r="M66" s="14">
        <f>IFERROR(ROUND(I66/G66,2),0)</f>
        <v>0.52</v>
      </c>
      <c r="N66" s="11">
        <f>IFERROR(H66/G66,0)</f>
        <v>1.7451612487096775</v>
      </c>
      <c r="O66" s="11">
        <f>IFERROR(H66/I66,0)</f>
        <v>3.3812499193750001</v>
      </c>
      <c r="P66" s="11">
        <f>IFERROR((J66-H66)/H66,0)</f>
        <v>24.138632762085699</v>
      </c>
    </row>
    <row r="67" spans="1:16">
      <c r="A67">
        <v>1121274</v>
      </c>
      <c r="B67" t="s">
        <v>162</v>
      </c>
      <c r="C67" t="s">
        <v>0</v>
      </c>
      <c r="D67" t="s">
        <v>1</v>
      </c>
      <c r="E67" s="14">
        <v>2</v>
      </c>
      <c r="F67" s="14">
        <v>63785</v>
      </c>
      <c r="G67" s="14">
        <v>7</v>
      </c>
      <c r="H67" s="13">
        <v>11.80000019</v>
      </c>
      <c r="I67" s="14">
        <v>16</v>
      </c>
      <c r="J67" s="11">
        <f>I67*85</f>
        <v>1360</v>
      </c>
      <c r="K67" s="11">
        <f>J67-H67</f>
        <v>1348.19999981</v>
      </c>
      <c r="L67" s="10">
        <f>G67/F67</f>
        <v>1.0974367014188289E-4</v>
      </c>
      <c r="M67" s="14">
        <f>IFERROR(ROUND(I67/G67,2),0)</f>
        <v>2.29</v>
      </c>
      <c r="N67" s="11">
        <f>IFERROR(H67/G67,0)</f>
        <v>1.685714312857143</v>
      </c>
      <c r="O67" s="11">
        <f>IFERROR(H67/I67,0)</f>
        <v>0.73750001187500003</v>
      </c>
      <c r="P67" s="11">
        <f>IFERROR((J67-H67)/H67,0)</f>
        <v>114.25423543234706</v>
      </c>
    </row>
    <row r="68" spans="1:16">
      <c r="A68">
        <v>1121279</v>
      </c>
      <c r="B68" t="s">
        <v>162</v>
      </c>
      <c r="C68" t="s">
        <v>0</v>
      </c>
      <c r="D68" t="s">
        <v>1</v>
      </c>
      <c r="E68" s="14">
        <v>7</v>
      </c>
      <c r="F68" s="14">
        <v>93891</v>
      </c>
      <c r="G68" s="14">
        <v>11</v>
      </c>
      <c r="H68" s="13">
        <v>17.640000100000002</v>
      </c>
      <c r="I68" s="14">
        <v>16</v>
      </c>
      <c r="J68" s="11">
        <f>I68*85</f>
        <v>1360</v>
      </c>
      <c r="K68" s="11">
        <f>J68-H68</f>
        <v>1342.3599999</v>
      </c>
      <c r="L68" s="10">
        <f>G68/F68</f>
        <v>1.1715712901130034E-4</v>
      </c>
      <c r="M68" s="14">
        <f>IFERROR(ROUND(I68/G68,2),0)</f>
        <v>1.45</v>
      </c>
      <c r="N68" s="11">
        <f>IFERROR(H68/G68,0)</f>
        <v>1.6036363727272729</v>
      </c>
      <c r="O68" s="11">
        <f>IFERROR(H68/I68,0)</f>
        <v>1.1025000062500001</v>
      </c>
      <c r="P68" s="11">
        <f>IFERROR((J68-H68)/H68,0)</f>
        <v>76.097505231873555</v>
      </c>
    </row>
    <row r="69" spans="1:16">
      <c r="A69">
        <v>1121319</v>
      </c>
      <c r="B69" t="s">
        <v>162</v>
      </c>
      <c r="C69" t="s">
        <v>2</v>
      </c>
      <c r="D69" t="s">
        <v>1</v>
      </c>
      <c r="E69" s="14">
        <v>20</v>
      </c>
      <c r="F69" s="14">
        <v>256598</v>
      </c>
      <c r="G69" s="14">
        <v>38</v>
      </c>
      <c r="H69" s="13">
        <v>64.469999310000006</v>
      </c>
      <c r="I69" s="14">
        <v>16</v>
      </c>
      <c r="J69" s="11">
        <f>I69*85</f>
        <v>1360</v>
      </c>
      <c r="K69" s="11">
        <f>J69-H69</f>
        <v>1295.53000069</v>
      </c>
      <c r="L69" s="10">
        <f>G69/F69</f>
        <v>1.4809156735438311E-4</v>
      </c>
      <c r="M69" s="14">
        <f>IFERROR(ROUND(I69/G69,2),0)</f>
        <v>0.42</v>
      </c>
      <c r="N69" s="11">
        <f>IFERROR(H69/G69,0)</f>
        <v>1.6965789292105264</v>
      </c>
      <c r="O69" s="11">
        <f>IFERROR(H69/I69,0)</f>
        <v>4.0293749568750004</v>
      </c>
      <c r="P69" s="11">
        <f>IFERROR((J69-H69)/H69,0)</f>
        <v>20.095083210107138</v>
      </c>
    </row>
    <row r="70" spans="1:16">
      <c r="A70">
        <v>1121374</v>
      </c>
      <c r="B70" t="s">
        <v>162</v>
      </c>
      <c r="C70" t="s">
        <v>2</v>
      </c>
      <c r="D70" t="s">
        <v>1</v>
      </c>
      <c r="E70" s="14">
        <v>29</v>
      </c>
      <c r="F70" s="14">
        <v>327158</v>
      </c>
      <c r="G70" s="14">
        <v>43</v>
      </c>
      <c r="H70" s="13">
        <v>72.310000299999999</v>
      </c>
      <c r="I70" s="14">
        <v>16</v>
      </c>
      <c r="J70" s="11">
        <f>I70*85</f>
        <v>1360</v>
      </c>
      <c r="K70" s="11">
        <f>J70-H70</f>
        <v>1287.6899997</v>
      </c>
      <c r="L70" s="10">
        <f>G70/F70</f>
        <v>1.3143496414576444E-4</v>
      </c>
      <c r="M70" s="14">
        <f>IFERROR(ROUND(I70/G70,2),0)</f>
        <v>0.37</v>
      </c>
      <c r="N70" s="11">
        <f>IFERROR(H70/G70,0)</f>
        <v>1.6816279139534884</v>
      </c>
      <c r="O70" s="11">
        <f>IFERROR(H70/I70,0)</f>
        <v>4.5193750187499999</v>
      </c>
      <c r="P70" s="11">
        <f>IFERROR((J70-H70)/H70,0)</f>
        <v>17.80791030780842</v>
      </c>
    </row>
    <row r="71" spans="1:16">
      <c r="A71">
        <v>1121464</v>
      </c>
      <c r="B71" t="s">
        <v>162</v>
      </c>
      <c r="C71" t="s">
        <v>3</v>
      </c>
      <c r="D71" t="s">
        <v>1</v>
      </c>
      <c r="E71" s="14">
        <v>19</v>
      </c>
      <c r="F71" s="14">
        <v>363456</v>
      </c>
      <c r="G71" s="14">
        <v>71</v>
      </c>
      <c r="H71" s="13">
        <v>117.55999970000001</v>
      </c>
      <c r="I71" s="14">
        <v>16</v>
      </c>
      <c r="J71" s="11">
        <f>I71*85</f>
        <v>1360</v>
      </c>
      <c r="K71" s="11">
        <f>J71-H71</f>
        <v>1242.4400003000001</v>
      </c>
      <c r="L71" s="10">
        <f>G71/F71</f>
        <v>1.95346892058461E-4</v>
      </c>
      <c r="M71" s="14">
        <f>IFERROR(ROUND(I71/G71,2),0)</f>
        <v>0.23</v>
      </c>
      <c r="N71" s="11">
        <f>IFERROR(H71/G71,0)</f>
        <v>1.655774643661972</v>
      </c>
      <c r="O71" s="11">
        <f>IFERROR(H71/I71,0)</f>
        <v>7.3474999812500004</v>
      </c>
      <c r="P71" s="11">
        <f>IFERROR((J71-H71)/H71,0)</f>
        <v>10.568560764465534</v>
      </c>
    </row>
    <row r="72" spans="1:16">
      <c r="A72">
        <v>1121612</v>
      </c>
      <c r="B72" t="s">
        <v>162</v>
      </c>
      <c r="C72" t="s">
        <v>4</v>
      </c>
      <c r="D72" t="s">
        <v>1</v>
      </c>
      <c r="E72" s="14">
        <v>18</v>
      </c>
      <c r="F72" s="14">
        <v>468749</v>
      </c>
      <c r="G72" s="14">
        <v>84</v>
      </c>
      <c r="H72" s="13">
        <v>134.11999750000001</v>
      </c>
      <c r="I72" s="14">
        <v>16</v>
      </c>
      <c r="J72" s="11">
        <f>I72*85</f>
        <v>1360</v>
      </c>
      <c r="K72" s="11">
        <f>J72-H72</f>
        <v>1225.8800025</v>
      </c>
      <c r="L72" s="10">
        <f>G72/F72</f>
        <v>1.7920038229414888E-4</v>
      </c>
      <c r="M72" s="14">
        <f>IFERROR(ROUND(I72/G72,2),0)</f>
        <v>0.19</v>
      </c>
      <c r="N72" s="11">
        <f>IFERROR(H72/G72,0)</f>
        <v>1.596666636904762</v>
      </c>
      <c r="O72" s="11">
        <f>IFERROR(H72/I72,0)</f>
        <v>8.3824998437500007</v>
      </c>
      <c r="P72" s="11">
        <f>IFERROR((J72-H72)/H72,0)</f>
        <v>9.1401731684344831</v>
      </c>
    </row>
    <row r="73" spans="1:16">
      <c r="A73">
        <v>1314297</v>
      </c>
      <c r="B73" t="s">
        <v>162</v>
      </c>
      <c r="C73" t="s">
        <v>0</v>
      </c>
      <c r="D73" t="s">
        <v>1</v>
      </c>
      <c r="E73" s="14">
        <v>101</v>
      </c>
      <c r="F73" s="14">
        <v>72228</v>
      </c>
      <c r="G73" s="14">
        <v>5</v>
      </c>
      <c r="H73" s="13">
        <v>7.5299998520000004</v>
      </c>
      <c r="I73" s="14">
        <v>16</v>
      </c>
      <c r="J73" s="11">
        <f>I73*85</f>
        <v>1360</v>
      </c>
      <c r="K73" s="11">
        <f>J73-H73</f>
        <v>1352.4700001480001</v>
      </c>
      <c r="L73" s="10">
        <f>G73/F73</f>
        <v>6.9225231212272244E-5</v>
      </c>
      <c r="M73" s="14">
        <f>IFERROR(ROUND(I73/G73,2),0)</f>
        <v>3.2</v>
      </c>
      <c r="N73" s="11">
        <f>IFERROR(H73/G73,0)</f>
        <v>1.5059999704</v>
      </c>
      <c r="O73" s="11">
        <f>IFERROR(H73/I73,0)</f>
        <v>0.47062499075000003</v>
      </c>
      <c r="P73" s="11">
        <f>IFERROR((J73-H73)/H73,0)</f>
        <v>179.61089332409193</v>
      </c>
    </row>
    <row r="74" spans="1:16">
      <c r="A74">
        <v>1121095</v>
      </c>
      <c r="B74" t="s">
        <v>162</v>
      </c>
      <c r="C74" t="s">
        <v>0</v>
      </c>
      <c r="D74" t="s">
        <v>1</v>
      </c>
      <c r="E74" s="14">
        <v>10</v>
      </c>
      <c r="F74" s="14">
        <v>459690</v>
      </c>
      <c r="G74" s="14">
        <v>50</v>
      </c>
      <c r="H74" s="13">
        <v>86.330001120000006</v>
      </c>
      <c r="I74" s="14">
        <v>15</v>
      </c>
      <c r="J74" s="11">
        <f>I74*85</f>
        <v>1275</v>
      </c>
      <c r="K74" s="11">
        <f>J74-H74</f>
        <v>1188.6699988800001</v>
      </c>
      <c r="L74" s="10">
        <f>G74/F74</f>
        <v>1.0876895299005852E-4</v>
      </c>
      <c r="M74" s="14">
        <f>IFERROR(ROUND(I74/G74,2),0)</f>
        <v>0.3</v>
      </c>
      <c r="N74" s="11">
        <f>IFERROR(H74/G74,0)</f>
        <v>1.7266000224000002</v>
      </c>
      <c r="O74" s="11">
        <f>IFERROR(H74/I74,0)</f>
        <v>5.7553334080000003</v>
      </c>
      <c r="P74" s="11">
        <f>IFERROR((J74-H74)/H74,0)</f>
        <v>13.768909804920897</v>
      </c>
    </row>
    <row r="75" spans="1:16">
      <c r="A75">
        <v>1121105</v>
      </c>
      <c r="B75" t="s">
        <v>162</v>
      </c>
      <c r="C75" t="s">
        <v>0</v>
      </c>
      <c r="D75" t="s">
        <v>1</v>
      </c>
      <c r="E75" s="14">
        <v>16</v>
      </c>
      <c r="F75" s="14">
        <v>145999</v>
      </c>
      <c r="G75" s="14">
        <v>9</v>
      </c>
      <c r="H75" s="13">
        <v>16.520000100000001</v>
      </c>
      <c r="I75" s="14">
        <v>15</v>
      </c>
      <c r="J75" s="11">
        <f>I75*85</f>
        <v>1275</v>
      </c>
      <c r="K75" s="11">
        <f>J75-H75</f>
        <v>1258.4799998999999</v>
      </c>
      <c r="L75" s="10">
        <f>G75/F75</f>
        <v>6.1644257837382448E-5</v>
      </c>
      <c r="M75" s="14">
        <f>IFERROR(ROUND(I75/G75,2),0)</f>
        <v>1.67</v>
      </c>
      <c r="N75" s="11">
        <f>IFERROR(H75/G75,0)</f>
        <v>1.8355555666666667</v>
      </c>
      <c r="O75" s="11">
        <f>IFERROR(H75/I75,0)</f>
        <v>1.10133334</v>
      </c>
      <c r="P75" s="11">
        <f>IFERROR((J75-H75)/H75,0)</f>
        <v>76.179176288261644</v>
      </c>
    </row>
    <row r="76" spans="1:16">
      <c r="A76">
        <v>1121110</v>
      </c>
      <c r="B76" t="s">
        <v>162</v>
      </c>
      <c r="C76" t="s">
        <v>0</v>
      </c>
      <c r="D76" t="s">
        <v>1</v>
      </c>
      <c r="E76" s="14">
        <v>18</v>
      </c>
      <c r="F76" s="14">
        <v>880814</v>
      </c>
      <c r="G76" s="14">
        <v>123</v>
      </c>
      <c r="H76" s="13">
        <v>210.36000060000001</v>
      </c>
      <c r="I76" s="14">
        <v>15</v>
      </c>
      <c r="J76" s="11">
        <f>I76*85</f>
        <v>1275</v>
      </c>
      <c r="K76" s="11">
        <f>J76-H76</f>
        <v>1064.6399994000001</v>
      </c>
      <c r="L76" s="10">
        <f>G76/F76</f>
        <v>1.3964355698251843E-4</v>
      </c>
      <c r="M76" s="14">
        <f>IFERROR(ROUND(I76/G76,2),0)</f>
        <v>0.12</v>
      </c>
      <c r="N76" s="11">
        <f>IFERROR(H76/G76,0)</f>
        <v>1.7102439073170732</v>
      </c>
      <c r="O76" s="11">
        <f>IFERROR(H76/I76,0)</f>
        <v>14.024000040000001</v>
      </c>
      <c r="P76" s="11">
        <f>IFERROR((J76-H76)/H76,0)</f>
        <v>5.061038202906337</v>
      </c>
    </row>
    <row r="77" spans="1:16">
      <c r="A77">
        <v>1121138</v>
      </c>
      <c r="B77" t="s">
        <v>162</v>
      </c>
      <c r="C77" t="s">
        <v>0</v>
      </c>
      <c r="D77" t="s">
        <v>1</v>
      </c>
      <c r="E77" s="14">
        <v>22</v>
      </c>
      <c r="F77" s="14">
        <v>328991</v>
      </c>
      <c r="G77" s="14">
        <v>35</v>
      </c>
      <c r="H77" s="13">
        <v>67.650000570000003</v>
      </c>
      <c r="I77" s="14">
        <v>15</v>
      </c>
      <c r="J77" s="11">
        <f>I77*85</f>
        <v>1275</v>
      </c>
      <c r="K77" s="11">
        <f>J77-H77</f>
        <v>1207.34999943</v>
      </c>
      <c r="L77" s="10">
        <f>G77/F77</f>
        <v>1.0638588897568627E-4</v>
      </c>
      <c r="M77" s="14">
        <f>IFERROR(ROUND(I77/G77,2),0)</f>
        <v>0.43</v>
      </c>
      <c r="N77" s="11">
        <f>IFERROR(H77/G77,0)</f>
        <v>1.9328571591428572</v>
      </c>
      <c r="O77" s="11">
        <f>IFERROR(H77/I77,0)</f>
        <v>4.5100000380000003</v>
      </c>
      <c r="P77" s="11">
        <f>IFERROR((J77-H77)/H77,0)</f>
        <v>17.84700649308509</v>
      </c>
    </row>
    <row r="78" spans="1:16">
      <c r="A78">
        <v>1121143</v>
      </c>
      <c r="B78" t="s">
        <v>162</v>
      </c>
      <c r="C78" t="s">
        <v>0</v>
      </c>
      <c r="D78" t="s">
        <v>1</v>
      </c>
      <c r="E78" s="14">
        <v>23</v>
      </c>
      <c r="F78" s="14">
        <v>221695</v>
      </c>
      <c r="G78" s="14">
        <v>31</v>
      </c>
      <c r="H78" s="13">
        <v>52.26000011</v>
      </c>
      <c r="I78" s="14">
        <v>15</v>
      </c>
      <c r="J78" s="11">
        <f>I78*85</f>
        <v>1275</v>
      </c>
      <c r="K78" s="11">
        <f>J78-H78</f>
        <v>1222.73999989</v>
      </c>
      <c r="L78" s="10">
        <f>G78/F78</f>
        <v>1.3983175082884144E-4</v>
      </c>
      <c r="M78" s="14">
        <f>IFERROR(ROUND(I78/G78,2),0)</f>
        <v>0.48</v>
      </c>
      <c r="N78" s="11">
        <f>IFERROR(H78/G78,0)</f>
        <v>1.6858064551612904</v>
      </c>
      <c r="O78" s="11">
        <f>IFERROR(H78/I78,0)</f>
        <v>3.4840000073333335</v>
      </c>
      <c r="P78" s="11">
        <f>IFERROR((J78-H78)/H78,0)</f>
        <v>23.397244495145486</v>
      </c>
    </row>
    <row r="79" spans="1:16">
      <c r="A79">
        <v>1121300</v>
      </c>
      <c r="B79" t="s">
        <v>162</v>
      </c>
      <c r="C79" t="s">
        <v>2</v>
      </c>
      <c r="D79" t="s">
        <v>1</v>
      </c>
      <c r="E79" s="14">
        <v>15</v>
      </c>
      <c r="F79" s="14">
        <v>782894</v>
      </c>
      <c r="G79" s="14">
        <v>118</v>
      </c>
      <c r="H79" s="13">
        <v>192.92999950000001</v>
      </c>
      <c r="I79" s="14">
        <v>15</v>
      </c>
      <c r="J79" s="11">
        <f>I79*85</f>
        <v>1275</v>
      </c>
      <c r="K79" s="11">
        <f>J79-H79</f>
        <v>1082.0700004999999</v>
      </c>
      <c r="L79" s="10">
        <f>G79/F79</f>
        <v>1.5072283093241231E-4</v>
      </c>
      <c r="M79" s="14">
        <f>IFERROR(ROUND(I79/G79,2),0)</f>
        <v>0.13</v>
      </c>
      <c r="N79" s="11">
        <f>IFERROR(H79/G79,0)</f>
        <v>1.6349999957627119</v>
      </c>
      <c r="O79" s="11">
        <f>IFERROR(H79/I79,0)</f>
        <v>12.861999966666668</v>
      </c>
      <c r="P79" s="11">
        <f>IFERROR((J79-H79)/H79,0)</f>
        <v>5.6086145405292447</v>
      </c>
    </row>
    <row r="80" spans="1:16">
      <c r="A80">
        <v>1121336</v>
      </c>
      <c r="B80" t="s">
        <v>162</v>
      </c>
      <c r="C80" t="s">
        <v>2</v>
      </c>
      <c r="D80" t="s">
        <v>1</v>
      </c>
      <c r="E80" s="14">
        <v>22</v>
      </c>
      <c r="F80" s="14">
        <v>275080</v>
      </c>
      <c r="G80" s="14">
        <v>43</v>
      </c>
      <c r="H80" s="13">
        <v>69.659999970000001</v>
      </c>
      <c r="I80" s="14">
        <v>15</v>
      </c>
      <c r="J80" s="11">
        <f>I80*85</f>
        <v>1275</v>
      </c>
      <c r="K80" s="11">
        <f>J80-H80</f>
        <v>1205.3400000300001</v>
      </c>
      <c r="L80" s="10">
        <f>G80/F80</f>
        <v>1.563181619892395E-4</v>
      </c>
      <c r="M80" s="14">
        <f>IFERROR(ROUND(I80/G80,2),0)</f>
        <v>0.35</v>
      </c>
      <c r="N80" s="11">
        <f>IFERROR(H80/G80,0)</f>
        <v>1.6199999993023255</v>
      </c>
      <c r="O80" s="11">
        <f>IFERROR(H80/I80,0)</f>
        <v>4.643999998</v>
      </c>
      <c r="P80" s="11">
        <f>IFERROR((J80-H80)/H80,0)</f>
        <v>17.30318691572058</v>
      </c>
    </row>
    <row r="81" spans="1:16">
      <c r="A81">
        <v>1121377</v>
      </c>
      <c r="B81" t="s">
        <v>162</v>
      </c>
      <c r="C81" t="s">
        <v>2</v>
      </c>
      <c r="D81" t="s">
        <v>1</v>
      </c>
      <c r="E81" s="14">
        <v>29</v>
      </c>
      <c r="F81" s="14">
        <v>59390</v>
      </c>
      <c r="G81" s="14">
        <v>5</v>
      </c>
      <c r="H81" s="13">
        <v>9.2099999189999995</v>
      </c>
      <c r="I81" s="14">
        <v>15</v>
      </c>
      <c r="J81" s="11">
        <f>I81*85</f>
        <v>1275</v>
      </c>
      <c r="K81" s="11">
        <f>J81-H81</f>
        <v>1265.790000081</v>
      </c>
      <c r="L81" s="10">
        <f>G81/F81</f>
        <v>8.418925745074928E-5</v>
      </c>
      <c r="M81" s="14">
        <f>IFERROR(ROUND(I81/G81,2),0)</f>
        <v>3</v>
      </c>
      <c r="N81" s="11">
        <f>IFERROR(H81/G81,0)</f>
        <v>1.8419999837999999</v>
      </c>
      <c r="O81" s="11">
        <f>IFERROR(H81/I81,0)</f>
        <v>0.61399999459999999</v>
      </c>
      <c r="P81" s="11">
        <f>IFERROR((J81-H81)/H81,0)</f>
        <v>137.43648330221012</v>
      </c>
    </row>
    <row r="82" spans="1:16">
      <c r="A82">
        <v>1121391</v>
      </c>
      <c r="B82" t="s">
        <v>162</v>
      </c>
      <c r="C82" t="s">
        <v>2</v>
      </c>
      <c r="D82" t="s">
        <v>1</v>
      </c>
      <c r="E82" s="14">
        <v>32</v>
      </c>
      <c r="F82" s="14">
        <v>382537</v>
      </c>
      <c r="G82" s="14">
        <v>63</v>
      </c>
      <c r="H82" s="13">
        <v>113.99000119999999</v>
      </c>
      <c r="I82" s="14">
        <v>15</v>
      </c>
      <c r="J82" s="11">
        <f>I82*85</f>
        <v>1275</v>
      </c>
      <c r="K82" s="11">
        <f>J82-H82</f>
        <v>1161.0099987999999</v>
      </c>
      <c r="L82" s="10">
        <f>G82/F82</f>
        <v>1.6468995156024123E-4</v>
      </c>
      <c r="M82" s="14">
        <f>IFERROR(ROUND(I82/G82,2),0)</f>
        <v>0.24</v>
      </c>
      <c r="N82" s="11">
        <f>IFERROR(H82/G82,0)</f>
        <v>1.8093650984126983</v>
      </c>
      <c r="O82" s="11">
        <f>IFERROR(H82/I82,0)</f>
        <v>7.5993334133333326</v>
      </c>
      <c r="P82" s="11">
        <f>IFERROR((J82-H82)/H82,0)</f>
        <v>10.18519156573182</v>
      </c>
    </row>
    <row r="83" spans="1:16">
      <c r="A83">
        <v>1121418</v>
      </c>
      <c r="B83" t="s">
        <v>162</v>
      </c>
      <c r="C83" t="s">
        <v>2</v>
      </c>
      <c r="D83" t="s">
        <v>1</v>
      </c>
      <c r="E83" s="14">
        <v>65</v>
      </c>
      <c r="F83" s="14">
        <v>192810</v>
      </c>
      <c r="G83" s="14">
        <v>41</v>
      </c>
      <c r="H83" s="13">
        <v>61.929999950000003</v>
      </c>
      <c r="I83" s="14">
        <v>15</v>
      </c>
      <c r="J83" s="11">
        <f>I83*85</f>
        <v>1275</v>
      </c>
      <c r="K83" s="11">
        <f>J83-H83</f>
        <v>1213.0700000500001</v>
      </c>
      <c r="L83" s="10">
        <f>G83/F83</f>
        <v>2.126445723769514E-4</v>
      </c>
      <c r="M83" s="14">
        <f>IFERROR(ROUND(I83/G83,2),0)</f>
        <v>0.37</v>
      </c>
      <c r="N83" s="11">
        <f>IFERROR(H83/G83,0)</f>
        <v>1.5104878036585367</v>
      </c>
      <c r="O83" s="11">
        <f>IFERROR(H83/I83,0)</f>
        <v>4.1286666633333331</v>
      </c>
      <c r="P83" s="11">
        <f>IFERROR((J83-H83)/H83,0)</f>
        <v>19.587760391238302</v>
      </c>
    </row>
    <row r="84" spans="1:16">
      <c r="A84">
        <v>1121439</v>
      </c>
      <c r="B84" t="s">
        <v>162</v>
      </c>
      <c r="C84" t="s">
        <v>3</v>
      </c>
      <c r="D84" t="s">
        <v>1</v>
      </c>
      <c r="E84" s="14">
        <v>10</v>
      </c>
      <c r="F84" s="14">
        <v>621591</v>
      </c>
      <c r="G84" s="14">
        <v>91</v>
      </c>
      <c r="H84" s="13">
        <v>163.36000000000001</v>
      </c>
      <c r="I84" s="14">
        <v>15</v>
      </c>
      <c r="J84" s="11">
        <f>I84*85</f>
        <v>1275</v>
      </c>
      <c r="K84" s="11">
        <f>J84-H84</f>
        <v>1111.6399999999999</v>
      </c>
      <c r="L84" s="10">
        <f>G84/F84</f>
        <v>1.4639851606603057E-4</v>
      </c>
      <c r="M84" s="14">
        <f>IFERROR(ROUND(I84/G84,2),0)</f>
        <v>0.16</v>
      </c>
      <c r="N84" s="11">
        <f>IFERROR(H84/G84,0)</f>
        <v>1.7951648351648353</v>
      </c>
      <c r="O84" s="11">
        <f>IFERROR(H84/I84,0)</f>
        <v>10.890666666666668</v>
      </c>
      <c r="P84" s="11">
        <f>IFERROR((J84-H84)/H84,0)</f>
        <v>6.8048481880509293</v>
      </c>
    </row>
    <row r="85" spans="1:16">
      <c r="A85">
        <v>1121453</v>
      </c>
      <c r="B85" t="s">
        <v>162</v>
      </c>
      <c r="C85" t="s">
        <v>3</v>
      </c>
      <c r="D85" t="s">
        <v>1</v>
      </c>
      <c r="E85" s="14">
        <v>16</v>
      </c>
      <c r="F85" s="14">
        <v>455248</v>
      </c>
      <c r="G85" s="14">
        <v>54</v>
      </c>
      <c r="H85" s="13">
        <v>105.7099996</v>
      </c>
      <c r="I85" s="14">
        <v>15</v>
      </c>
      <c r="J85" s="11">
        <f>I85*85</f>
        <v>1275</v>
      </c>
      <c r="K85" s="11">
        <f>J85-H85</f>
        <v>1169.2900004000001</v>
      </c>
      <c r="L85" s="10">
        <f>G85/F85</f>
        <v>1.1861666608090535E-4</v>
      </c>
      <c r="M85" s="14">
        <f>IFERROR(ROUND(I85/G85,2),0)</f>
        <v>0.28000000000000003</v>
      </c>
      <c r="N85" s="11">
        <f>IFERROR(H85/G85,0)</f>
        <v>1.9575925851851852</v>
      </c>
      <c r="O85" s="11">
        <f>IFERROR(H85/I85,0)</f>
        <v>7.0473333066666672</v>
      </c>
      <c r="P85" s="11">
        <f>IFERROR((J85-H85)/H85,0)</f>
        <v>11.061299828062813</v>
      </c>
    </row>
    <row r="86" spans="1:16">
      <c r="A86">
        <v>1121473</v>
      </c>
      <c r="B86" t="s">
        <v>162</v>
      </c>
      <c r="C86" t="s">
        <v>3</v>
      </c>
      <c r="D86" t="s">
        <v>1</v>
      </c>
      <c r="E86" s="14">
        <v>20</v>
      </c>
      <c r="F86" s="14">
        <v>439986</v>
      </c>
      <c r="G86" s="14">
        <v>80</v>
      </c>
      <c r="H86" s="13">
        <v>134.8799999</v>
      </c>
      <c r="I86" s="14">
        <v>15</v>
      </c>
      <c r="J86" s="11">
        <f>I86*85</f>
        <v>1275</v>
      </c>
      <c r="K86" s="11">
        <f>J86-H86</f>
        <v>1140.1200001</v>
      </c>
      <c r="L86" s="10">
        <f>G86/F86</f>
        <v>1.8182396712622674E-4</v>
      </c>
      <c r="M86" s="14">
        <f>IFERROR(ROUND(I86/G86,2),0)</f>
        <v>0.19</v>
      </c>
      <c r="N86" s="11">
        <f>IFERROR(H86/G86,0)</f>
        <v>1.6859999987500001</v>
      </c>
      <c r="O86" s="11">
        <f>IFERROR(H86/I86,0)</f>
        <v>8.9919999933333337</v>
      </c>
      <c r="P86" s="11">
        <f>IFERROR((J86-H86)/H86,0)</f>
        <v>8.4528469820973058</v>
      </c>
    </row>
    <row r="87" spans="1:16">
      <c r="A87">
        <v>1121602</v>
      </c>
      <c r="B87" t="s">
        <v>162</v>
      </c>
      <c r="C87" t="s">
        <v>4</v>
      </c>
      <c r="D87" t="s">
        <v>1</v>
      </c>
      <c r="E87" s="14">
        <v>16</v>
      </c>
      <c r="F87" s="14">
        <v>915451</v>
      </c>
      <c r="G87" s="14">
        <v>125</v>
      </c>
      <c r="H87" s="13">
        <v>220.559999</v>
      </c>
      <c r="I87" s="14">
        <v>15</v>
      </c>
      <c r="J87" s="11">
        <f>I87*85</f>
        <v>1275</v>
      </c>
      <c r="K87" s="11">
        <f>J87-H87</f>
        <v>1054.4400009999999</v>
      </c>
      <c r="L87" s="10">
        <f>G87/F87</f>
        <v>1.3654471948799007E-4</v>
      </c>
      <c r="M87" s="14">
        <f>IFERROR(ROUND(I87/G87,2),0)</f>
        <v>0.12</v>
      </c>
      <c r="N87" s="11">
        <f>IFERROR(H87/G87,0)</f>
        <v>1.7644799920000001</v>
      </c>
      <c r="O87" s="11">
        <f>IFERROR(H87/I87,0)</f>
        <v>14.703999933333334</v>
      </c>
      <c r="P87" s="11">
        <f>IFERROR((J87-H87)/H87,0)</f>
        <v>4.7807399609210188</v>
      </c>
    </row>
    <row r="88" spans="1:16">
      <c r="A88">
        <v>1121613</v>
      </c>
      <c r="B88" t="s">
        <v>162</v>
      </c>
      <c r="C88" t="s">
        <v>4</v>
      </c>
      <c r="D88" t="s">
        <v>1</v>
      </c>
      <c r="E88" s="14">
        <v>19</v>
      </c>
      <c r="F88" s="14">
        <v>309823</v>
      </c>
      <c r="G88" s="14">
        <v>60</v>
      </c>
      <c r="H88" s="13">
        <v>103.3899996</v>
      </c>
      <c r="I88" s="14">
        <v>15</v>
      </c>
      <c r="J88" s="11">
        <f>I88*85</f>
        <v>1275</v>
      </c>
      <c r="K88" s="11">
        <f>J88-H88</f>
        <v>1171.6100004</v>
      </c>
      <c r="L88" s="10">
        <f>G88/F88</f>
        <v>1.9365896011593717E-4</v>
      </c>
      <c r="M88" s="14">
        <f>IFERROR(ROUND(I88/G88,2),0)</f>
        <v>0.25</v>
      </c>
      <c r="N88" s="11">
        <f>IFERROR(H88/G88,0)</f>
        <v>1.72316666</v>
      </c>
      <c r="O88" s="11">
        <f>IFERROR(H88/I88,0)</f>
        <v>6.8926666399999998</v>
      </c>
      <c r="P88" s="11">
        <f>IFERROR((J88-H88)/H88,0)</f>
        <v>11.331947044518607</v>
      </c>
    </row>
    <row r="89" spans="1:16">
      <c r="A89">
        <v>1121644</v>
      </c>
      <c r="B89" t="s">
        <v>162</v>
      </c>
      <c r="C89" t="s">
        <v>4</v>
      </c>
      <c r="D89" t="s">
        <v>1</v>
      </c>
      <c r="E89" s="14">
        <v>24</v>
      </c>
      <c r="F89" s="14">
        <v>355165</v>
      </c>
      <c r="G89" s="14">
        <v>81</v>
      </c>
      <c r="H89" s="13">
        <v>128.6099997</v>
      </c>
      <c r="I89" s="14">
        <v>15</v>
      </c>
      <c r="J89" s="11">
        <f>I89*85</f>
        <v>1275</v>
      </c>
      <c r="K89" s="11">
        <f>J89-H89</f>
        <v>1146.3900002999999</v>
      </c>
      <c r="L89" s="10">
        <f>G89/F89</f>
        <v>2.2806301296580462E-4</v>
      </c>
      <c r="M89" s="14">
        <f>IFERROR(ROUND(I89/G89,2),0)</f>
        <v>0.19</v>
      </c>
      <c r="N89" s="11">
        <f>IFERROR(H89/G89,0)</f>
        <v>1.5877777740740742</v>
      </c>
      <c r="O89" s="11">
        <f>IFERROR(H89/I89,0)</f>
        <v>8.57399998</v>
      </c>
      <c r="P89" s="11">
        <f>IFERROR((J89-H89)/H89,0)</f>
        <v>8.9136925820240069</v>
      </c>
    </row>
    <row r="90" spans="1:16">
      <c r="A90">
        <v>1121693</v>
      </c>
      <c r="B90" t="s">
        <v>162</v>
      </c>
      <c r="C90" t="s">
        <v>4</v>
      </c>
      <c r="D90" t="s">
        <v>1</v>
      </c>
      <c r="E90" s="14">
        <v>32</v>
      </c>
      <c r="F90" s="14">
        <v>433658</v>
      </c>
      <c r="G90" s="14">
        <v>82</v>
      </c>
      <c r="H90" s="13">
        <v>158.59999980000001</v>
      </c>
      <c r="I90" s="14">
        <v>15</v>
      </c>
      <c r="J90" s="11">
        <f>I90*85</f>
        <v>1275</v>
      </c>
      <c r="K90" s="11">
        <f>J90-H90</f>
        <v>1116.4000002</v>
      </c>
      <c r="L90" s="10">
        <f>G90/F90</f>
        <v>1.8908909786052603E-4</v>
      </c>
      <c r="M90" s="14">
        <f>IFERROR(ROUND(I90/G90,2),0)</f>
        <v>0.18</v>
      </c>
      <c r="N90" s="11">
        <f>IFERROR(H90/G90,0)</f>
        <v>1.9341463390243903</v>
      </c>
      <c r="O90" s="11">
        <f>IFERROR(H90/I90,0)</f>
        <v>10.57333332</v>
      </c>
      <c r="P90" s="11">
        <f>IFERROR((J90-H90)/H90,0)</f>
        <v>7.0390920656230671</v>
      </c>
    </row>
    <row r="91" spans="1:16">
      <c r="A91">
        <v>1121774</v>
      </c>
      <c r="B91" t="s">
        <v>162</v>
      </c>
      <c r="C91" t="s">
        <v>0</v>
      </c>
      <c r="D91" t="s">
        <v>5</v>
      </c>
      <c r="E91" s="14">
        <v>20</v>
      </c>
      <c r="F91" s="14">
        <v>670608</v>
      </c>
      <c r="G91" s="14">
        <v>130</v>
      </c>
      <c r="H91" s="13">
        <v>195.14999779999999</v>
      </c>
      <c r="I91" s="14">
        <v>15</v>
      </c>
      <c r="J91" s="11">
        <f>I91*85</f>
        <v>1275</v>
      </c>
      <c r="K91" s="11">
        <f>J91-H91</f>
        <v>1079.8500022000001</v>
      </c>
      <c r="L91" s="10">
        <f>G91/F91</f>
        <v>1.9385393553312814E-4</v>
      </c>
      <c r="M91" s="14">
        <f>IFERROR(ROUND(I91/G91,2),0)</f>
        <v>0.12</v>
      </c>
      <c r="N91" s="11">
        <f>IFERROR(H91/G91,0)</f>
        <v>1.5011538292307691</v>
      </c>
      <c r="O91" s="11">
        <f>IFERROR(H91/I91,0)</f>
        <v>13.009999853333333</v>
      </c>
      <c r="P91" s="11">
        <f>IFERROR((J91-H91)/H91,0)</f>
        <v>5.5334358922549782</v>
      </c>
    </row>
    <row r="92" spans="1:16">
      <c r="A92">
        <v>1121845</v>
      </c>
      <c r="B92" t="s">
        <v>162</v>
      </c>
      <c r="C92" t="s">
        <v>0</v>
      </c>
      <c r="D92" t="s">
        <v>5</v>
      </c>
      <c r="E92" s="14">
        <v>32</v>
      </c>
      <c r="F92" s="14">
        <v>390339</v>
      </c>
      <c r="G92" s="14">
        <v>60</v>
      </c>
      <c r="H92" s="13">
        <v>105.0199997</v>
      </c>
      <c r="I92" s="14">
        <v>15</v>
      </c>
      <c r="J92" s="11">
        <f>I92*85</f>
        <v>1275</v>
      </c>
      <c r="K92" s="11">
        <f>J92-H92</f>
        <v>1169.9800003</v>
      </c>
      <c r="L92" s="10">
        <f>G92/F92</f>
        <v>1.5371254217487877E-4</v>
      </c>
      <c r="M92" s="14">
        <f>IFERROR(ROUND(I92/G92,2),0)</f>
        <v>0.25</v>
      </c>
      <c r="N92" s="11">
        <f>IFERROR(H92/G92,0)</f>
        <v>1.7503333283333333</v>
      </c>
      <c r="O92" s="11">
        <f>IFERROR(H92/I92,0)</f>
        <v>7.0013333133333333</v>
      </c>
      <c r="P92" s="11">
        <f>IFERROR((J92-H92)/H92,0)</f>
        <v>11.140544692841015</v>
      </c>
    </row>
    <row r="93" spans="1:16">
      <c r="A93">
        <v>1121903</v>
      </c>
      <c r="B93" t="s">
        <v>162</v>
      </c>
      <c r="C93" t="s">
        <v>2</v>
      </c>
      <c r="D93" t="s">
        <v>5</v>
      </c>
      <c r="E93" s="14">
        <v>16</v>
      </c>
      <c r="F93" s="14">
        <v>1247717</v>
      </c>
      <c r="G93" s="14">
        <v>222</v>
      </c>
      <c r="H93" s="13">
        <v>343.41999939999999</v>
      </c>
      <c r="I93" s="14">
        <v>15</v>
      </c>
      <c r="J93" s="11">
        <f>I93*85</f>
        <v>1275</v>
      </c>
      <c r="K93" s="11">
        <f>J93-H93</f>
        <v>931.58000059999995</v>
      </c>
      <c r="L93" s="10">
        <f>G93/F93</f>
        <v>1.7792496215087236E-4</v>
      </c>
      <c r="M93" s="14">
        <f>IFERROR(ROUND(I93/G93,2),0)</f>
        <v>7.0000000000000007E-2</v>
      </c>
      <c r="N93" s="11">
        <f>IFERROR(H93/G93,0)</f>
        <v>1.5469369342342343</v>
      </c>
      <c r="O93" s="11">
        <f>IFERROR(H93/I93,0)</f>
        <v>22.894666626666666</v>
      </c>
      <c r="P93" s="11">
        <f>IFERROR((J93-H93)/H93,0)</f>
        <v>2.7126550644330352</v>
      </c>
    </row>
    <row r="94" spans="1:16">
      <c r="A94">
        <v>1121906</v>
      </c>
      <c r="B94" t="s">
        <v>162</v>
      </c>
      <c r="C94" t="s">
        <v>2</v>
      </c>
      <c r="D94" t="s">
        <v>5</v>
      </c>
      <c r="E94" s="14">
        <v>16</v>
      </c>
      <c r="F94" s="14">
        <v>1184580</v>
      </c>
      <c r="G94" s="14">
        <v>194</v>
      </c>
      <c r="H94" s="13">
        <v>297.82999810000001</v>
      </c>
      <c r="I94" s="14">
        <v>15</v>
      </c>
      <c r="J94" s="11">
        <f>I94*85</f>
        <v>1275</v>
      </c>
      <c r="K94" s="11">
        <f>J94-H94</f>
        <v>977.17000189999999</v>
      </c>
      <c r="L94" s="10">
        <f>G94/F94</f>
        <v>1.6377112563102533E-4</v>
      </c>
      <c r="M94" s="14">
        <f>IFERROR(ROUND(I94/G94,2),0)</f>
        <v>0.08</v>
      </c>
      <c r="N94" s="11">
        <f>IFERROR(H94/G94,0)</f>
        <v>1.5352061757731958</v>
      </c>
      <c r="O94" s="11">
        <f>IFERROR(H94/I94,0)</f>
        <v>19.855333206666668</v>
      </c>
      <c r="P94" s="11">
        <f>IFERROR((J94-H94)/H94,0)</f>
        <v>3.2809656788565111</v>
      </c>
    </row>
    <row r="95" spans="1:16">
      <c r="A95">
        <v>1314350</v>
      </c>
      <c r="B95" t="s">
        <v>162</v>
      </c>
      <c r="C95" t="s">
        <v>4</v>
      </c>
      <c r="D95" t="s">
        <v>1</v>
      </c>
      <c r="E95" s="14">
        <v>109</v>
      </c>
      <c r="F95" s="14">
        <v>365539</v>
      </c>
      <c r="G95" s="14">
        <v>57</v>
      </c>
      <c r="H95" s="13">
        <v>82.139999149999994</v>
      </c>
      <c r="I95" s="14">
        <v>15</v>
      </c>
      <c r="J95" s="11">
        <f>I95*85</f>
        <v>1275</v>
      </c>
      <c r="K95" s="11">
        <f>J95-H95</f>
        <v>1192.86000085</v>
      </c>
      <c r="L95" s="10">
        <f>G95/F95</f>
        <v>1.5593411373341831E-4</v>
      </c>
      <c r="M95" s="14">
        <f>IFERROR(ROUND(I95/G95,2),0)</f>
        <v>0.26</v>
      </c>
      <c r="N95" s="11">
        <f>IFERROR(H95/G95,0)</f>
        <v>1.4410526166666666</v>
      </c>
      <c r="O95" s="11">
        <f>IFERROR(H95/I95,0)</f>
        <v>5.4759999433333331</v>
      </c>
      <c r="P95" s="11">
        <f>IFERROR((J95-H95)/H95,0)</f>
        <v>14.522279196419984</v>
      </c>
    </row>
    <row r="96" spans="1:16">
      <c r="A96">
        <v>1314357</v>
      </c>
      <c r="B96" t="s">
        <v>162</v>
      </c>
      <c r="C96" t="s">
        <v>0</v>
      </c>
      <c r="D96" t="s">
        <v>5</v>
      </c>
      <c r="E96" s="14">
        <v>101</v>
      </c>
      <c r="F96" s="14">
        <v>524306</v>
      </c>
      <c r="G96" s="14">
        <v>81</v>
      </c>
      <c r="H96" s="13">
        <v>113.68000290000001</v>
      </c>
      <c r="I96" s="14">
        <v>15</v>
      </c>
      <c r="J96" s="11">
        <f>I96*85</f>
        <v>1275</v>
      </c>
      <c r="K96" s="11">
        <f>J96-H96</f>
        <v>1161.3199970999999</v>
      </c>
      <c r="L96" s="10">
        <f>G96/F96</f>
        <v>1.5448993526680983E-4</v>
      </c>
      <c r="M96" s="14">
        <f>IFERROR(ROUND(I96/G96,2),0)</f>
        <v>0.19</v>
      </c>
      <c r="N96" s="11">
        <f>IFERROR(H96/G96,0)</f>
        <v>1.4034568259259259</v>
      </c>
      <c r="O96" s="11">
        <f>IFERROR(H96/I96,0)</f>
        <v>7.5786668600000002</v>
      </c>
      <c r="P96" s="11">
        <f>IFERROR((J96-H96)/H96,0)</f>
        <v>10.215692887706638</v>
      </c>
    </row>
    <row r="97" spans="1:16">
      <c r="A97">
        <v>1314368</v>
      </c>
      <c r="B97" t="s">
        <v>162</v>
      </c>
      <c r="C97" t="s">
        <v>0</v>
      </c>
      <c r="D97" t="s">
        <v>5</v>
      </c>
      <c r="E97" s="14">
        <v>112</v>
      </c>
      <c r="F97" s="14">
        <v>699232</v>
      </c>
      <c r="G97" s="14">
        <v>80</v>
      </c>
      <c r="H97" s="13">
        <v>111.9899995</v>
      </c>
      <c r="I97" s="14">
        <v>15</v>
      </c>
      <c r="J97" s="11">
        <f>I97*85</f>
        <v>1275</v>
      </c>
      <c r="K97" s="11">
        <f>J97-H97</f>
        <v>1163.0100004999999</v>
      </c>
      <c r="L97" s="10">
        <f>G97/F97</f>
        <v>1.1441123976019404E-4</v>
      </c>
      <c r="M97" s="14">
        <f>IFERROR(ROUND(I97/G97,2),0)</f>
        <v>0.19</v>
      </c>
      <c r="N97" s="11">
        <f>IFERROR(H97/G97,0)</f>
        <v>1.3998749937499999</v>
      </c>
      <c r="O97" s="11">
        <f>IFERROR(H97/I97,0)</f>
        <v>7.4659999666666668</v>
      </c>
      <c r="P97" s="11">
        <f>IFERROR((J97-H97)/H97,0)</f>
        <v>10.384945135212721</v>
      </c>
    </row>
    <row r="98" spans="1:16">
      <c r="A98">
        <v>1314378</v>
      </c>
      <c r="B98" t="s">
        <v>162</v>
      </c>
      <c r="C98" t="s">
        <v>2</v>
      </c>
      <c r="D98" t="s">
        <v>5</v>
      </c>
      <c r="E98" s="14">
        <v>107</v>
      </c>
      <c r="F98" s="14">
        <v>866355</v>
      </c>
      <c r="G98" s="14">
        <v>139</v>
      </c>
      <c r="H98" s="13">
        <v>200.82999609999999</v>
      </c>
      <c r="I98" s="14">
        <v>15</v>
      </c>
      <c r="J98" s="11">
        <f>I98*85</f>
        <v>1275</v>
      </c>
      <c r="K98" s="11">
        <f>J98-H98</f>
        <v>1074.1700039</v>
      </c>
      <c r="L98" s="10">
        <f>G98/F98</f>
        <v>1.6044231290868064E-4</v>
      </c>
      <c r="M98" s="14">
        <f>IFERROR(ROUND(I98/G98,2),0)</f>
        <v>0.11</v>
      </c>
      <c r="N98" s="11">
        <f>IFERROR(H98/G98,0)</f>
        <v>1.4448201158273379</v>
      </c>
      <c r="O98" s="11">
        <f>IFERROR(H98/I98,0)</f>
        <v>13.388666406666665</v>
      </c>
      <c r="P98" s="11">
        <f>IFERROR((J98-H98)/H98,0)</f>
        <v>5.3486532129649333</v>
      </c>
    </row>
    <row r="99" spans="1:16">
      <c r="A99">
        <v>1314401</v>
      </c>
      <c r="B99" t="s">
        <v>162</v>
      </c>
      <c r="C99" t="s">
        <v>4</v>
      </c>
      <c r="D99" t="s">
        <v>5</v>
      </c>
      <c r="E99" s="14">
        <v>100</v>
      </c>
      <c r="F99" s="14">
        <v>904907</v>
      </c>
      <c r="G99" s="14">
        <v>195</v>
      </c>
      <c r="H99" s="13">
        <v>279.21999499999998</v>
      </c>
      <c r="I99" s="14">
        <v>15</v>
      </c>
      <c r="J99" s="11">
        <f>I99*85</f>
        <v>1275</v>
      </c>
      <c r="K99" s="11">
        <f>J99-H99</f>
        <v>995.78000500000007</v>
      </c>
      <c r="L99" s="10">
        <f>G99/F99</f>
        <v>2.1549175771653882E-4</v>
      </c>
      <c r="M99" s="14">
        <f>IFERROR(ROUND(I99/G99,2),0)</f>
        <v>0.08</v>
      </c>
      <c r="N99" s="11">
        <f>IFERROR(H99/G99,0)</f>
        <v>1.4318974102564102</v>
      </c>
      <c r="O99" s="11">
        <f>IFERROR(H99/I99,0)</f>
        <v>18.614666333333332</v>
      </c>
      <c r="P99" s="11">
        <f>IFERROR((J99-H99)/H99,0)</f>
        <v>3.5662918946760964</v>
      </c>
    </row>
    <row r="100" spans="1:16">
      <c r="A100">
        <v>1121111</v>
      </c>
      <c r="B100" t="s">
        <v>162</v>
      </c>
      <c r="C100" t="s">
        <v>0</v>
      </c>
      <c r="D100" t="s">
        <v>1</v>
      </c>
      <c r="E100" s="14">
        <v>18</v>
      </c>
      <c r="F100" s="14">
        <v>182452</v>
      </c>
      <c r="G100" s="14">
        <v>20</v>
      </c>
      <c r="H100" s="13">
        <v>35.730000259999997</v>
      </c>
      <c r="I100" s="14">
        <v>14</v>
      </c>
      <c r="J100" s="11">
        <f>I100*85</f>
        <v>1190</v>
      </c>
      <c r="K100" s="11">
        <f>J100-H100</f>
        <v>1154.26999974</v>
      </c>
      <c r="L100" s="10">
        <f>G100/F100</f>
        <v>1.0961787209786684E-4</v>
      </c>
      <c r="M100" s="14">
        <f>IFERROR(ROUND(I100/G100,2),0)</f>
        <v>0.7</v>
      </c>
      <c r="N100" s="11">
        <f>IFERROR(H100/G100,0)</f>
        <v>1.7865000129999999</v>
      </c>
      <c r="O100" s="11">
        <f>IFERROR(H100/I100,0)</f>
        <v>2.5521428757142854</v>
      </c>
      <c r="P100" s="11">
        <f>IFERROR((J100-H100)/H100,0)</f>
        <v>32.30534540555864</v>
      </c>
    </row>
    <row r="101" spans="1:16">
      <c r="A101">
        <v>1121121</v>
      </c>
      <c r="B101" t="s">
        <v>162</v>
      </c>
      <c r="C101" t="s">
        <v>0</v>
      </c>
      <c r="D101" t="s">
        <v>1</v>
      </c>
      <c r="E101" s="14">
        <v>20</v>
      </c>
      <c r="F101" s="14">
        <v>323899</v>
      </c>
      <c r="G101" s="14">
        <v>46</v>
      </c>
      <c r="H101" s="13">
        <v>78.920000200000004</v>
      </c>
      <c r="I101" s="14">
        <v>14</v>
      </c>
      <c r="J101" s="11">
        <f>I101*85</f>
        <v>1190</v>
      </c>
      <c r="K101" s="11">
        <f>J101-H101</f>
        <v>1111.0799998</v>
      </c>
      <c r="L101" s="10">
        <f>G101/F101</f>
        <v>1.4201958017777148E-4</v>
      </c>
      <c r="M101" s="14">
        <f>IFERROR(ROUND(I101/G101,2),0)</f>
        <v>0.3</v>
      </c>
      <c r="N101" s="11">
        <f>IFERROR(H101/G101,0)</f>
        <v>1.7156521782608696</v>
      </c>
      <c r="O101" s="11">
        <f>IFERROR(H101/I101,0)</f>
        <v>5.6371428714285718</v>
      </c>
      <c r="P101" s="11">
        <f>IFERROR((J101-H101)/H101,0)</f>
        <v>14.078560529451188</v>
      </c>
    </row>
    <row r="102" spans="1:16">
      <c r="A102">
        <v>1121132</v>
      </c>
      <c r="B102" t="s">
        <v>162</v>
      </c>
      <c r="C102" t="s">
        <v>0</v>
      </c>
      <c r="D102" t="s">
        <v>1</v>
      </c>
      <c r="E102" s="14">
        <v>21</v>
      </c>
      <c r="F102" s="14">
        <v>114923</v>
      </c>
      <c r="G102" s="14">
        <v>12</v>
      </c>
      <c r="H102" s="13">
        <v>23.730000260000001</v>
      </c>
      <c r="I102" s="14">
        <v>14</v>
      </c>
      <c r="J102" s="11">
        <f>I102*85</f>
        <v>1190</v>
      </c>
      <c r="K102" s="11">
        <f>J102-H102</f>
        <v>1166.26999974</v>
      </c>
      <c r="L102" s="10">
        <f>G102/F102</f>
        <v>1.0441774057412354E-4</v>
      </c>
      <c r="M102" s="14">
        <f>IFERROR(ROUND(I102/G102,2),0)</f>
        <v>1.17</v>
      </c>
      <c r="N102" s="11">
        <f>IFERROR(H102/G102,0)</f>
        <v>1.9775000216666667</v>
      </c>
      <c r="O102" s="11">
        <f>IFERROR(H102/I102,0)</f>
        <v>1.6950000185714287</v>
      </c>
      <c r="P102" s="11">
        <f>IFERROR((J102-H102)/H102,0)</f>
        <v>49.147492075922969</v>
      </c>
    </row>
    <row r="103" spans="1:16">
      <c r="A103">
        <v>1121153</v>
      </c>
      <c r="B103" t="s">
        <v>162</v>
      </c>
      <c r="C103" t="s">
        <v>0</v>
      </c>
      <c r="D103" t="s">
        <v>1</v>
      </c>
      <c r="E103" s="14">
        <v>24</v>
      </c>
      <c r="F103" s="14">
        <v>187856</v>
      </c>
      <c r="G103" s="14">
        <v>23</v>
      </c>
      <c r="H103" s="13">
        <v>38.389999750000001</v>
      </c>
      <c r="I103" s="14">
        <v>14</v>
      </c>
      <c r="J103" s="11">
        <f>I103*85</f>
        <v>1190</v>
      </c>
      <c r="K103" s="11">
        <f>J103-H103</f>
        <v>1151.61000025</v>
      </c>
      <c r="L103" s="10">
        <f>G103/F103</f>
        <v>1.2243420492291968E-4</v>
      </c>
      <c r="M103" s="14">
        <f>IFERROR(ROUND(I103/G103,2),0)</f>
        <v>0.61</v>
      </c>
      <c r="N103" s="11">
        <f>IFERROR(H103/G103,0)</f>
        <v>1.6691304239130436</v>
      </c>
      <c r="O103" s="11">
        <f>IFERROR(H103/I103,0)</f>
        <v>2.7421428392857146</v>
      </c>
      <c r="P103" s="11">
        <f>IFERROR((J103-H103)/H103,0)</f>
        <v>29.997655841349673</v>
      </c>
    </row>
    <row r="104" spans="1:16">
      <c r="A104">
        <v>1121220</v>
      </c>
      <c r="B104" t="s">
        <v>162</v>
      </c>
      <c r="C104" t="s">
        <v>0</v>
      </c>
      <c r="D104" t="s">
        <v>1</v>
      </c>
      <c r="E104" s="14">
        <v>31</v>
      </c>
      <c r="F104" s="14">
        <v>100596</v>
      </c>
      <c r="G104" s="14">
        <v>10</v>
      </c>
      <c r="H104" s="13">
        <v>13.91999972</v>
      </c>
      <c r="I104" s="14">
        <v>14</v>
      </c>
      <c r="J104" s="11">
        <f>I104*85</f>
        <v>1190</v>
      </c>
      <c r="K104" s="11">
        <f>J104-H104</f>
        <v>1176.0800002799999</v>
      </c>
      <c r="L104" s="10">
        <f>G104/F104</f>
        <v>9.9407531114557233E-5</v>
      </c>
      <c r="M104" s="14">
        <f>IFERROR(ROUND(I104/G104,2),0)</f>
        <v>1.4</v>
      </c>
      <c r="N104" s="11">
        <f>IFERROR(H104/G104,0)</f>
        <v>1.391999972</v>
      </c>
      <c r="O104" s="11">
        <f>IFERROR(H104/I104,0)</f>
        <v>0.99428569428571423</v>
      </c>
      <c r="P104" s="11">
        <f>IFERROR((J104-H104)/H104,0)</f>
        <v>84.488507466722851</v>
      </c>
    </row>
    <row r="105" spans="1:16">
      <c r="A105">
        <v>1121310</v>
      </c>
      <c r="B105" t="s">
        <v>162</v>
      </c>
      <c r="C105" t="s">
        <v>2</v>
      </c>
      <c r="D105" t="s">
        <v>1</v>
      </c>
      <c r="E105" s="14">
        <v>18</v>
      </c>
      <c r="F105" s="14">
        <v>341603</v>
      </c>
      <c r="G105" s="14">
        <v>50</v>
      </c>
      <c r="H105" s="13">
        <v>83.480001209999998</v>
      </c>
      <c r="I105" s="14">
        <v>14</v>
      </c>
      <c r="J105" s="11">
        <f>I105*85</f>
        <v>1190</v>
      </c>
      <c r="K105" s="11">
        <f>J105-H105</f>
        <v>1106.51999879</v>
      </c>
      <c r="L105" s="10">
        <f>G105/F105</f>
        <v>1.463687379794674E-4</v>
      </c>
      <c r="M105" s="14">
        <f>IFERROR(ROUND(I105/G105,2),0)</f>
        <v>0.28000000000000003</v>
      </c>
      <c r="N105" s="11">
        <f>IFERROR(H105/G105,0)</f>
        <v>1.6696000242</v>
      </c>
      <c r="O105" s="11">
        <f>IFERROR(H105/I105,0)</f>
        <v>5.9628572292857145</v>
      </c>
      <c r="P105" s="11">
        <f>IFERROR((J105-H105)/H105,0)</f>
        <v>13.254911149395754</v>
      </c>
    </row>
    <row r="106" spans="1:16">
      <c r="A106">
        <v>1121322</v>
      </c>
      <c r="B106" t="s">
        <v>162</v>
      </c>
      <c r="C106" t="s">
        <v>2</v>
      </c>
      <c r="D106" t="s">
        <v>1</v>
      </c>
      <c r="E106" s="14">
        <v>20</v>
      </c>
      <c r="F106" s="14">
        <v>237603</v>
      </c>
      <c r="G106" s="14">
        <v>37</v>
      </c>
      <c r="H106" s="13">
        <v>62.250000239999999</v>
      </c>
      <c r="I106" s="14">
        <v>14</v>
      </c>
      <c r="J106" s="11">
        <f>I106*85</f>
        <v>1190</v>
      </c>
      <c r="K106" s="11">
        <f>J106-H106</f>
        <v>1127.74999976</v>
      </c>
      <c r="L106" s="10">
        <f>G106/F106</f>
        <v>1.5572193953780045E-4</v>
      </c>
      <c r="M106" s="14">
        <f>IFERROR(ROUND(I106/G106,2),0)</f>
        <v>0.38</v>
      </c>
      <c r="N106" s="11">
        <f>IFERROR(H106/G106,0)</f>
        <v>1.6824324389189189</v>
      </c>
      <c r="O106" s="11">
        <f>IFERROR(H106/I106,0)</f>
        <v>4.4464285885714281</v>
      </c>
      <c r="P106" s="11">
        <f>IFERROR((J106-H106)/H106,0)</f>
        <v>18.116465789751778</v>
      </c>
    </row>
    <row r="107" spans="1:16">
      <c r="A107">
        <v>1121444</v>
      </c>
      <c r="B107" t="s">
        <v>162</v>
      </c>
      <c r="C107" t="s">
        <v>3</v>
      </c>
      <c r="D107" t="s">
        <v>1</v>
      </c>
      <c r="E107" s="14">
        <v>10</v>
      </c>
      <c r="F107" s="14">
        <v>211767</v>
      </c>
      <c r="G107" s="14">
        <v>35</v>
      </c>
      <c r="H107" s="13">
        <v>60.899999139999998</v>
      </c>
      <c r="I107" s="14">
        <v>14</v>
      </c>
      <c r="J107" s="11">
        <f>I107*85</f>
        <v>1190</v>
      </c>
      <c r="K107" s="11">
        <f>J107-H107</f>
        <v>1129.1000008599999</v>
      </c>
      <c r="L107" s="10">
        <f>G107/F107</f>
        <v>1.652759872879155E-4</v>
      </c>
      <c r="M107" s="14">
        <f>IFERROR(ROUND(I107/G107,2),0)</f>
        <v>0.4</v>
      </c>
      <c r="N107" s="11">
        <f>IFERROR(H107/G107,0)</f>
        <v>1.7399999754285713</v>
      </c>
      <c r="O107" s="11">
        <f>IFERROR(H107/I107,0)</f>
        <v>4.3499999385714281</v>
      </c>
      <c r="P107" s="11">
        <f>IFERROR((J107-H107)/H107,0)</f>
        <v>18.540230160995041</v>
      </c>
    </row>
    <row r="108" spans="1:16">
      <c r="A108">
        <v>1121544</v>
      </c>
      <c r="B108" t="s">
        <v>162</v>
      </c>
      <c r="C108" t="s">
        <v>3</v>
      </c>
      <c r="D108" t="s">
        <v>1</v>
      </c>
      <c r="E108" s="14">
        <v>32</v>
      </c>
      <c r="F108" s="14">
        <v>400844</v>
      </c>
      <c r="G108" s="14">
        <v>85</v>
      </c>
      <c r="H108" s="13">
        <v>140.97000220000001</v>
      </c>
      <c r="I108" s="14">
        <v>14</v>
      </c>
      <c r="J108" s="11">
        <f>I108*85</f>
        <v>1190</v>
      </c>
      <c r="K108" s="11">
        <f>J108-H108</f>
        <v>1049.0299978</v>
      </c>
      <c r="L108" s="10">
        <f>G108/F108</f>
        <v>2.120525690792428E-4</v>
      </c>
      <c r="M108" s="14">
        <f>IFERROR(ROUND(I108/G108,2),0)</f>
        <v>0.16</v>
      </c>
      <c r="N108" s="11">
        <f>IFERROR(H108/G108,0)</f>
        <v>1.6584706141176473</v>
      </c>
      <c r="O108" s="11">
        <f>IFERROR(H108/I108,0)</f>
        <v>10.069285871428573</v>
      </c>
      <c r="P108" s="11">
        <f>IFERROR((J108-H108)/H108,0)</f>
        <v>7.4415122467806842</v>
      </c>
    </row>
    <row r="109" spans="1:16">
      <c r="A109">
        <v>1121592</v>
      </c>
      <c r="B109" t="s">
        <v>162</v>
      </c>
      <c r="C109" t="s">
        <v>4</v>
      </c>
      <c r="D109" t="s">
        <v>1</v>
      </c>
      <c r="E109" s="14">
        <v>10</v>
      </c>
      <c r="F109" s="14">
        <v>428812</v>
      </c>
      <c r="G109" s="14">
        <v>66</v>
      </c>
      <c r="H109" s="13">
        <v>116.8800001</v>
      </c>
      <c r="I109" s="14">
        <v>14</v>
      </c>
      <c r="J109" s="11">
        <f>I109*85</f>
        <v>1190</v>
      </c>
      <c r="K109" s="11">
        <f>J109-H109</f>
        <v>1073.1199999</v>
      </c>
      <c r="L109" s="10">
        <f>G109/F109</f>
        <v>1.5391360316409055E-4</v>
      </c>
      <c r="M109" s="14">
        <f>IFERROR(ROUND(I109/G109,2),0)</f>
        <v>0.21</v>
      </c>
      <c r="N109" s="11">
        <f>IFERROR(H109/G109,0)</f>
        <v>1.7709090924242425</v>
      </c>
      <c r="O109" s="11">
        <f>IFERROR(H109/I109,0)</f>
        <v>8.3485714357142857</v>
      </c>
      <c r="P109" s="11">
        <f>IFERROR((J109-H109)/H109,0)</f>
        <v>9.1813826059365304</v>
      </c>
    </row>
    <row r="110" spans="1:16">
      <c r="A110">
        <v>1121668</v>
      </c>
      <c r="B110" t="s">
        <v>162</v>
      </c>
      <c r="C110" t="s">
        <v>4</v>
      </c>
      <c r="D110" t="s">
        <v>1</v>
      </c>
      <c r="E110" s="14">
        <v>28</v>
      </c>
      <c r="F110" s="14">
        <v>775904</v>
      </c>
      <c r="G110" s="14">
        <v>172</v>
      </c>
      <c r="H110" s="13">
        <v>253.990002</v>
      </c>
      <c r="I110" s="14">
        <v>14</v>
      </c>
      <c r="J110" s="11">
        <f>I110*85</f>
        <v>1190</v>
      </c>
      <c r="K110" s="11">
        <f>J110-H110</f>
        <v>936.009998</v>
      </c>
      <c r="L110" s="10">
        <f>G110/F110</f>
        <v>2.2167690848352373E-4</v>
      </c>
      <c r="M110" s="14">
        <f>IFERROR(ROUND(I110/G110,2),0)</f>
        <v>0.08</v>
      </c>
      <c r="N110" s="11">
        <f>IFERROR(H110/G110,0)</f>
        <v>1.4766860581395349</v>
      </c>
      <c r="O110" s="11">
        <f>IFERROR(H110/I110,0)</f>
        <v>18.142143000000001</v>
      </c>
      <c r="P110" s="11">
        <f>IFERROR((J110-H110)/H110,0)</f>
        <v>3.685223790816774</v>
      </c>
    </row>
    <row r="111" spans="1:16">
      <c r="A111">
        <v>1121673</v>
      </c>
      <c r="B111" t="s">
        <v>162</v>
      </c>
      <c r="C111" t="s">
        <v>4</v>
      </c>
      <c r="D111" t="s">
        <v>1</v>
      </c>
      <c r="E111" s="14">
        <v>29</v>
      </c>
      <c r="F111" s="14">
        <v>563074</v>
      </c>
      <c r="G111" s="14">
        <v>86</v>
      </c>
      <c r="H111" s="13">
        <v>142.70999850000001</v>
      </c>
      <c r="I111" s="14">
        <v>14</v>
      </c>
      <c r="J111" s="11">
        <f>I111*85</f>
        <v>1190</v>
      </c>
      <c r="K111" s="11">
        <f>J111-H111</f>
        <v>1047.2900015</v>
      </c>
      <c r="L111" s="10">
        <f>G111/F111</f>
        <v>1.5273303331356092E-4</v>
      </c>
      <c r="M111" s="14">
        <f>IFERROR(ROUND(I111/G111,2),0)</f>
        <v>0.16</v>
      </c>
      <c r="N111" s="11">
        <f>IFERROR(H111/G111,0)</f>
        <v>1.6594185872093024</v>
      </c>
      <c r="O111" s="11">
        <f>IFERROR(H111/I111,0)</f>
        <v>10.193571321428573</v>
      </c>
      <c r="P111" s="11">
        <f>IFERROR((J111-H111)/H111,0)</f>
        <v>7.3385888340542582</v>
      </c>
    </row>
    <row r="112" spans="1:16">
      <c r="A112">
        <v>1121753</v>
      </c>
      <c r="B112" t="s">
        <v>162</v>
      </c>
      <c r="C112" t="s">
        <v>0</v>
      </c>
      <c r="D112" t="s">
        <v>5</v>
      </c>
      <c r="E112" s="14">
        <v>16</v>
      </c>
      <c r="F112" s="14">
        <v>740631</v>
      </c>
      <c r="G112" s="14">
        <v>101</v>
      </c>
      <c r="H112" s="13">
        <v>153.11999750000001</v>
      </c>
      <c r="I112" s="14">
        <v>14</v>
      </c>
      <c r="J112" s="11">
        <f>I112*85</f>
        <v>1190</v>
      </c>
      <c r="K112" s="11">
        <f>J112-H112</f>
        <v>1036.8800025</v>
      </c>
      <c r="L112" s="10">
        <f>G112/F112</f>
        <v>1.3637020324561085E-4</v>
      </c>
      <c r="M112" s="14">
        <f>IFERROR(ROUND(I112/G112,2),0)</f>
        <v>0.14000000000000001</v>
      </c>
      <c r="N112" s="11">
        <f>IFERROR(H112/G112,0)</f>
        <v>1.5160395792079209</v>
      </c>
      <c r="O112" s="11">
        <f>IFERROR(H112/I112,0)</f>
        <v>10.93714267857143</v>
      </c>
      <c r="P112" s="11">
        <f>IFERROR((J112-H112)/H112,0)</f>
        <v>6.7716824675366123</v>
      </c>
    </row>
    <row r="113" spans="1:16">
      <c r="A113">
        <v>1121779</v>
      </c>
      <c r="B113" t="s">
        <v>162</v>
      </c>
      <c r="C113" t="s">
        <v>0</v>
      </c>
      <c r="D113" t="s">
        <v>5</v>
      </c>
      <c r="E113" s="14">
        <v>21</v>
      </c>
      <c r="F113" s="14">
        <v>271589</v>
      </c>
      <c r="G113" s="14">
        <v>45</v>
      </c>
      <c r="H113" s="13">
        <v>74.410000319999995</v>
      </c>
      <c r="I113" s="14">
        <v>14</v>
      </c>
      <c r="J113" s="11">
        <f>I113*85</f>
        <v>1190</v>
      </c>
      <c r="K113" s="11">
        <f>J113-H113</f>
        <v>1115.5899996799999</v>
      </c>
      <c r="L113" s="10">
        <f>G113/F113</f>
        <v>1.6569154126271681E-4</v>
      </c>
      <c r="M113" s="14">
        <f>IFERROR(ROUND(I113/G113,2),0)</f>
        <v>0.31</v>
      </c>
      <c r="N113" s="11">
        <f>IFERROR(H113/G113,0)</f>
        <v>1.6535555626666665</v>
      </c>
      <c r="O113" s="11">
        <f>IFERROR(H113/I113,0)</f>
        <v>5.3150000228571423</v>
      </c>
      <c r="P113" s="11">
        <f>IFERROR((J113-H113)/H113,0)</f>
        <v>14.992474061045669</v>
      </c>
    </row>
    <row r="114" spans="1:16">
      <c r="A114">
        <v>1121817</v>
      </c>
      <c r="B114" t="s">
        <v>162</v>
      </c>
      <c r="C114" t="s">
        <v>0</v>
      </c>
      <c r="D114" t="s">
        <v>5</v>
      </c>
      <c r="E114" s="14">
        <v>28</v>
      </c>
      <c r="F114" s="14">
        <v>606786</v>
      </c>
      <c r="G114" s="14">
        <v>127</v>
      </c>
      <c r="H114" s="13">
        <v>179.05000100000001</v>
      </c>
      <c r="I114" s="14">
        <v>14</v>
      </c>
      <c r="J114" s="11">
        <f>I114*85</f>
        <v>1190</v>
      </c>
      <c r="K114" s="11">
        <f>J114-H114</f>
        <v>1010.9499989999999</v>
      </c>
      <c r="L114" s="10">
        <f>G114/F114</f>
        <v>2.0929948944108795E-4</v>
      </c>
      <c r="M114" s="14">
        <f>IFERROR(ROUND(I114/G114,2),0)</f>
        <v>0.11</v>
      </c>
      <c r="N114" s="11">
        <f>IFERROR(H114/G114,0)</f>
        <v>1.4098425275590551</v>
      </c>
      <c r="O114" s="11">
        <f>IFERROR(H114/I114,0)</f>
        <v>12.789285785714286</v>
      </c>
      <c r="P114" s="11">
        <f>IFERROR((J114-H114)/H114,0)</f>
        <v>5.6461881784630643</v>
      </c>
    </row>
    <row r="115" spans="1:16">
      <c r="A115">
        <v>1121891</v>
      </c>
      <c r="B115" t="s">
        <v>162</v>
      </c>
      <c r="C115" t="s">
        <v>2</v>
      </c>
      <c r="D115" t="s">
        <v>5</v>
      </c>
      <c r="E115" s="14">
        <v>10</v>
      </c>
      <c r="F115" s="14">
        <v>1025327</v>
      </c>
      <c r="G115" s="14">
        <v>229</v>
      </c>
      <c r="H115" s="13">
        <v>314.29999830000003</v>
      </c>
      <c r="I115" s="14">
        <v>14</v>
      </c>
      <c r="J115" s="11">
        <f>I115*85</f>
        <v>1190</v>
      </c>
      <c r="K115" s="11">
        <f>J115-H115</f>
        <v>875.70000170000003</v>
      </c>
      <c r="L115" s="10">
        <f>G115/F115</f>
        <v>2.2334338216003285E-4</v>
      </c>
      <c r="M115" s="14">
        <f>IFERROR(ROUND(I115/G115,2),0)</f>
        <v>0.06</v>
      </c>
      <c r="N115" s="11">
        <f>IFERROR(H115/G115,0)</f>
        <v>1.3724890755458516</v>
      </c>
      <c r="O115" s="11">
        <f>IFERROR(H115/I115,0)</f>
        <v>22.449999878571429</v>
      </c>
      <c r="P115" s="11">
        <f>IFERROR((J115-H115)/H115,0)</f>
        <v>2.7861915572272529</v>
      </c>
    </row>
    <row r="116" spans="1:16">
      <c r="A116">
        <v>1121963</v>
      </c>
      <c r="B116" t="s">
        <v>162</v>
      </c>
      <c r="C116" t="s">
        <v>2</v>
      </c>
      <c r="D116" t="s">
        <v>5</v>
      </c>
      <c r="E116" s="14">
        <v>27</v>
      </c>
      <c r="F116" s="14">
        <v>720859</v>
      </c>
      <c r="G116" s="14">
        <v>162</v>
      </c>
      <c r="H116" s="13">
        <v>213.6899986</v>
      </c>
      <c r="I116" s="14">
        <v>14</v>
      </c>
      <c r="J116" s="11">
        <f>I116*85</f>
        <v>1190</v>
      </c>
      <c r="K116" s="11">
        <f>J116-H116</f>
        <v>976.31000140000003</v>
      </c>
      <c r="L116" s="10">
        <f>G116/F116</f>
        <v>2.2473188237921702E-4</v>
      </c>
      <c r="M116" s="14">
        <f>IFERROR(ROUND(I116/G116,2),0)</f>
        <v>0.09</v>
      </c>
      <c r="N116" s="11">
        <f>IFERROR(H116/G116,0)</f>
        <v>1.3190740654320987</v>
      </c>
      <c r="O116" s="11">
        <f>IFERROR(H116/I116,0)</f>
        <v>15.263571328571429</v>
      </c>
      <c r="P116" s="11">
        <f>IFERROR((J116-H116)/H116,0)</f>
        <v>4.5688146745113976</v>
      </c>
    </row>
    <row r="117" spans="1:16">
      <c r="A117">
        <v>1122205</v>
      </c>
      <c r="B117" t="s">
        <v>162</v>
      </c>
      <c r="C117" t="s">
        <v>4</v>
      </c>
      <c r="D117" t="s">
        <v>5</v>
      </c>
      <c r="E117" s="14">
        <v>16</v>
      </c>
      <c r="F117" s="14">
        <v>1015460</v>
      </c>
      <c r="G117" s="14">
        <v>247</v>
      </c>
      <c r="H117" s="13">
        <v>315.90000509999999</v>
      </c>
      <c r="I117" s="14">
        <v>14</v>
      </c>
      <c r="J117" s="11">
        <f>I117*85</f>
        <v>1190</v>
      </c>
      <c r="K117" s="11">
        <f>J117-H117</f>
        <v>874.09999489999996</v>
      </c>
      <c r="L117" s="10">
        <f>G117/F117</f>
        <v>2.4323951706615722E-4</v>
      </c>
      <c r="M117" s="14">
        <f>IFERROR(ROUND(I117/G117,2),0)</f>
        <v>0.06</v>
      </c>
      <c r="N117" s="11">
        <f>IFERROR(H117/G117,0)</f>
        <v>1.2789473890688259</v>
      </c>
      <c r="O117" s="11">
        <f>IFERROR(H117/I117,0)</f>
        <v>22.564286078571428</v>
      </c>
      <c r="P117" s="11">
        <f>IFERROR((J117-H117)/H117,0)</f>
        <v>2.7670148173099856</v>
      </c>
    </row>
    <row r="118" spans="1:16">
      <c r="A118">
        <v>1122217</v>
      </c>
      <c r="B118" t="s">
        <v>162</v>
      </c>
      <c r="C118" t="s">
        <v>4</v>
      </c>
      <c r="D118" t="s">
        <v>5</v>
      </c>
      <c r="E118" s="14">
        <v>19</v>
      </c>
      <c r="F118" s="14">
        <v>719083</v>
      </c>
      <c r="G118" s="14">
        <v>206</v>
      </c>
      <c r="H118" s="13">
        <v>299.52999829999999</v>
      </c>
      <c r="I118" s="14">
        <v>14</v>
      </c>
      <c r="J118" s="11">
        <f>I118*85</f>
        <v>1190</v>
      </c>
      <c r="K118" s="11">
        <f>J118-H118</f>
        <v>890.47000170000001</v>
      </c>
      <c r="L118" s="10">
        <f>G118/F118</f>
        <v>2.8647597008968367E-4</v>
      </c>
      <c r="M118" s="14">
        <f>IFERROR(ROUND(I118/G118,2),0)</f>
        <v>7.0000000000000007E-2</v>
      </c>
      <c r="N118" s="11">
        <f>IFERROR(H118/G118,0)</f>
        <v>1.4540291179611651</v>
      </c>
      <c r="O118" s="11">
        <f>IFERROR(H118/I118,0)</f>
        <v>21.394999878571429</v>
      </c>
      <c r="P118" s="11">
        <f>IFERROR((J118-H118)/H118,0)</f>
        <v>2.9728908848993907</v>
      </c>
    </row>
    <row r="119" spans="1:16">
      <c r="A119">
        <v>1122266</v>
      </c>
      <c r="B119" t="s">
        <v>162</v>
      </c>
      <c r="C119" t="s">
        <v>4</v>
      </c>
      <c r="D119" t="s">
        <v>5</v>
      </c>
      <c r="E119" s="14">
        <v>27</v>
      </c>
      <c r="F119" s="14">
        <v>1088027</v>
      </c>
      <c r="G119" s="14">
        <v>272</v>
      </c>
      <c r="H119" s="13">
        <v>409.56000260000002</v>
      </c>
      <c r="I119" s="14">
        <v>14</v>
      </c>
      <c r="J119" s="11">
        <f>I119*85</f>
        <v>1190</v>
      </c>
      <c r="K119" s="11">
        <f>J119-H119</f>
        <v>780.43999740000004</v>
      </c>
      <c r="L119" s="10">
        <f>G119/F119</f>
        <v>2.4999379610983919E-4</v>
      </c>
      <c r="M119" s="14">
        <f>IFERROR(ROUND(I119/G119,2),0)</f>
        <v>0.05</v>
      </c>
      <c r="N119" s="11">
        <f>IFERROR(H119/G119,0)</f>
        <v>1.5057353036764707</v>
      </c>
      <c r="O119" s="11">
        <f>IFERROR(H119/I119,0)</f>
        <v>29.254285900000003</v>
      </c>
      <c r="P119" s="11">
        <f>IFERROR((J119-H119)/H119,0)</f>
        <v>1.905557164873404</v>
      </c>
    </row>
    <row r="120" spans="1:16">
      <c r="A120">
        <v>1314309</v>
      </c>
      <c r="B120" t="s">
        <v>162</v>
      </c>
      <c r="C120" t="s">
        <v>0</v>
      </c>
      <c r="D120" t="s">
        <v>1</v>
      </c>
      <c r="E120" s="14">
        <v>113</v>
      </c>
      <c r="F120" s="14">
        <v>276762</v>
      </c>
      <c r="G120" s="14">
        <v>22</v>
      </c>
      <c r="H120" s="13">
        <v>32.090000150000002</v>
      </c>
      <c r="I120" s="14">
        <v>14</v>
      </c>
      <c r="J120" s="11">
        <f>I120*85</f>
        <v>1190</v>
      </c>
      <c r="K120" s="11">
        <f>J120-H120</f>
        <v>1157.9099998500001</v>
      </c>
      <c r="L120" s="10">
        <f>G120/F120</f>
        <v>7.9490681524197685E-5</v>
      </c>
      <c r="M120" s="14">
        <f>IFERROR(ROUND(I120/G120,2),0)</f>
        <v>0.64</v>
      </c>
      <c r="N120" s="11">
        <f>IFERROR(H120/G120,0)</f>
        <v>1.4586363704545455</v>
      </c>
      <c r="O120" s="11">
        <f>IFERROR(H120/I120,0)</f>
        <v>2.2921428678571432</v>
      </c>
      <c r="P120" s="11">
        <f>IFERROR((J120-H120)/H120,0)</f>
        <v>36.083203316843864</v>
      </c>
    </row>
    <row r="121" spans="1:16">
      <c r="A121">
        <v>1314349</v>
      </c>
      <c r="B121" t="s">
        <v>162</v>
      </c>
      <c r="C121" t="s">
        <v>4</v>
      </c>
      <c r="D121" t="s">
        <v>1</v>
      </c>
      <c r="E121" s="14">
        <v>108</v>
      </c>
      <c r="F121" s="14">
        <v>267106</v>
      </c>
      <c r="G121" s="14">
        <v>34</v>
      </c>
      <c r="H121" s="13">
        <v>50.5</v>
      </c>
      <c r="I121" s="14">
        <v>14</v>
      </c>
      <c r="J121" s="11">
        <f>I121*85</f>
        <v>1190</v>
      </c>
      <c r="K121" s="11">
        <f>J121-H121</f>
        <v>1139.5</v>
      </c>
      <c r="L121" s="10">
        <f>G121/F121</f>
        <v>1.2729028924846316E-4</v>
      </c>
      <c r="M121" s="14">
        <f>IFERROR(ROUND(I121/G121,2),0)</f>
        <v>0.41</v>
      </c>
      <c r="N121" s="11">
        <f>IFERROR(H121/G121,0)</f>
        <v>1.4852941176470589</v>
      </c>
      <c r="O121" s="11">
        <f>IFERROR(H121/I121,0)</f>
        <v>3.6071428571428572</v>
      </c>
      <c r="P121" s="11">
        <f>IFERROR((J121-H121)/H121,0)</f>
        <v>22.564356435643564</v>
      </c>
    </row>
    <row r="122" spans="1:16">
      <c r="A122">
        <v>1314408</v>
      </c>
      <c r="B122" t="s">
        <v>162</v>
      </c>
      <c r="C122" t="s">
        <v>4</v>
      </c>
      <c r="D122" t="s">
        <v>5</v>
      </c>
      <c r="E122" s="14">
        <v>107</v>
      </c>
      <c r="F122" s="14">
        <v>877769</v>
      </c>
      <c r="G122" s="14">
        <v>160</v>
      </c>
      <c r="H122" s="13">
        <v>232.5900005</v>
      </c>
      <c r="I122" s="14">
        <v>14</v>
      </c>
      <c r="J122" s="11">
        <f>I122*85</f>
        <v>1190</v>
      </c>
      <c r="K122" s="11">
        <f>J122-H122</f>
        <v>957.40999950000003</v>
      </c>
      <c r="L122" s="10">
        <f>G122/F122</f>
        <v>1.8228030381569639E-4</v>
      </c>
      <c r="M122" s="14">
        <f>IFERROR(ROUND(I122/G122,2),0)</f>
        <v>0.09</v>
      </c>
      <c r="N122" s="11">
        <f>IFERROR(H122/G122,0)</f>
        <v>1.4536875031250001</v>
      </c>
      <c r="O122" s="11">
        <f>IFERROR(H122/I122,0)</f>
        <v>16.613571464285716</v>
      </c>
      <c r="P122" s="11">
        <f>IFERROR((J122-H122)/H122,0)</f>
        <v>4.1162990560292814</v>
      </c>
    </row>
    <row r="123" spans="1:16">
      <c r="A123">
        <v>1121183</v>
      </c>
      <c r="B123" t="s">
        <v>162</v>
      </c>
      <c r="C123" t="s">
        <v>0</v>
      </c>
      <c r="D123" t="s">
        <v>1</v>
      </c>
      <c r="E123" s="14">
        <v>27</v>
      </c>
      <c r="F123" s="14">
        <v>399392</v>
      </c>
      <c r="G123" s="14">
        <v>53</v>
      </c>
      <c r="H123" s="13">
        <v>93.070000410000006</v>
      </c>
      <c r="I123" s="14">
        <v>13</v>
      </c>
      <c r="J123" s="11">
        <f>I123*85</f>
        <v>1105</v>
      </c>
      <c r="K123" s="11">
        <f>J123-H123</f>
        <v>1011.92999959</v>
      </c>
      <c r="L123" s="10">
        <f>G123/F123</f>
        <v>1.3270170659402292E-4</v>
      </c>
      <c r="M123" s="14">
        <f>IFERROR(ROUND(I123/G123,2),0)</f>
        <v>0.25</v>
      </c>
      <c r="N123" s="11">
        <f>IFERROR(H123/G123,0)</f>
        <v>1.7560377435849057</v>
      </c>
      <c r="O123" s="11">
        <f>IFERROR(H123/I123,0)</f>
        <v>7.1592308007692314</v>
      </c>
      <c r="P123" s="11">
        <f>IFERROR((J123-H123)/H123,0)</f>
        <v>10.872783873774132</v>
      </c>
    </row>
    <row r="124" spans="1:16">
      <c r="A124">
        <v>1121205</v>
      </c>
      <c r="B124" t="s">
        <v>162</v>
      </c>
      <c r="C124" t="s">
        <v>0</v>
      </c>
      <c r="D124" t="s">
        <v>1</v>
      </c>
      <c r="E124" s="14">
        <v>29</v>
      </c>
      <c r="F124" s="14">
        <v>297452</v>
      </c>
      <c r="G124" s="14">
        <v>30</v>
      </c>
      <c r="H124" s="13">
        <v>52.019999859999999</v>
      </c>
      <c r="I124" s="14">
        <v>13</v>
      </c>
      <c r="J124" s="11">
        <f>I124*85</f>
        <v>1105</v>
      </c>
      <c r="K124" s="11">
        <f>J124-H124</f>
        <v>1052.9800001399999</v>
      </c>
      <c r="L124" s="10">
        <f>G124/F124</f>
        <v>1.0085660879738579E-4</v>
      </c>
      <c r="M124" s="14">
        <f>IFERROR(ROUND(I124/G124,2),0)</f>
        <v>0.43</v>
      </c>
      <c r="N124" s="11">
        <f>IFERROR(H124/G124,0)</f>
        <v>1.7339999953333334</v>
      </c>
      <c r="O124" s="11">
        <f>IFERROR(H124/I124,0)</f>
        <v>4.0015384507692309</v>
      </c>
      <c r="P124" s="11">
        <f>IFERROR((J124-H124)/H124,0)</f>
        <v>20.241830122527031</v>
      </c>
    </row>
    <row r="125" spans="1:16">
      <c r="A125">
        <v>1121241</v>
      </c>
      <c r="B125" t="s">
        <v>162</v>
      </c>
      <c r="C125" t="s">
        <v>0</v>
      </c>
      <c r="D125" t="s">
        <v>1</v>
      </c>
      <c r="E125" s="14">
        <v>36</v>
      </c>
      <c r="F125" s="14">
        <v>24952</v>
      </c>
      <c r="G125" s="14">
        <v>5</v>
      </c>
      <c r="H125" s="13">
        <v>8.2200002669999996</v>
      </c>
      <c r="I125" s="14">
        <v>13</v>
      </c>
      <c r="J125" s="11">
        <f>I125*85</f>
        <v>1105</v>
      </c>
      <c r="K125" s="11">
        <f>J125-H125</f>
        <v>1096.7799997330001</v>
      </c>
      <c r="L125" s="10">
        <f>G125/F125</f>
        <v>2.0038473869830073E-4</v>
      </c>
      <c r="M125" s="14">
        <f>IFERROR(ROUND(I125/G125,2),0)</f>
        <v>2.6</v>
      </c>
      <c r="N125" s="11">
        <f>IFERROR(H125/G125,0)</f>
        <v>1.6440000533999999</v>
      </c>
      <c r="O125" s="11">
        <f>IFERROR(H125/I125,0)</f>
        <v>0.63230771284615384</v>
      </c>
      <c r="P125" s="11">
        <f>IFERROR((J125-H125)/H125,0)</f>
        <v>133.4282194778182</v>
      </c>
    </row>
    <row r="126" spans="1:16">
      <c r="A126">
        <v>1121250</v>
      </c>
      <c r="B126" t="s">
        <v>162</v>
      </c>
      <c r="C126" t="s">
        <v>0</v>
      </c>
      <c r="D126" t="s">
        <v>1</v>
      </c>
      <c r="E126" s="14">
        <v>63</v>
      </c>
      <c r="F126" s="14">
        <v>287976</v>
      </c>
      <c r="G126" s="14">
        <v>31</v>
      </c>
      <c r="H126" s="13">
        <v>59.439999819999997</v>
      </c>
      <c r="I126" s="14">
        <v>13</v>
      </c>
      <c r="J126" s="11">
        <f>I126*85</f>
        <v>1105</v>
      </c>
      <c r="K126" s="11">
        <f>J126-H126</f>
        <v>1045.5600001800001</v>
      </c>
      <c r="L126" s="10">
        <f>G126/F126</f>
        <v>1.0764785954385087E-4</v>
      </c>
      <c r="M126" s="14">
        <f>IFERROR(ROUND(I126/G126,2),0)</f>
        <v>0.42</v>
      </c>
      <c r="N126" s="11">
        <f>IFERROR(H126/G126,0)</f>
        <v>1.917419349032258</v>
      </c>
      <c r="O126" s="11">
        <f>IFERROR(H126/I126,0)</f>
        <v>4.572307678461538</v>
      </c>
      <c r="P126" s="11">
        <f>IFERROR((J126-H126)/H126,0)</f>
        <v>17.59017502264858</v>
      </c>
    </row>
    <row r="127" spans="1:16">
      <c r="A127">
        <v>1121254</v>
      </c>
      <c r="B127" t="s">
        <v>162</v>
      </c>
      <c r="C127" t="s">
        <v>0</v>
      </c>
      <c r="D127" t="s">
        <v>1</v>
      </c>
      <c r="E127" s="14">
        <v>63</v>
      </c>
      <c r="F127" s="14">
        <v>124005</v>
      </c>
      <c r="G127" s="14">
        <v>11</v>
      </c>
      <c r="H127" s="13">
        <v>21.849999789999998</v>
      </c>
      <c r="I127" s="14">
        <v>13</v>
      </c>
      <c r="J127" s="11">
        <f>I127*85</f>
        <v>1105</v>
      </c>
      <c r="K127" s="11">
        <f>J127-H127</f>
        <v>1083.1500002099999</v>
      </c>
      <c r="L127" s="10">
        <f>G127/F127</f>
        <v>8.8706100560461272E-5</v>
      </c>
      <c r="M127" s="14">
        <f>IFERROR(ROUND(I127/G127,2),0)</f>
        <v>1.18</v>
      </c>
      <c r="N127" s="11">
        <f>IFERROR(H127/G127,0)</f>
        <v>1.986363617272727</v>
      </c>
      <c r="O127" s="11">
        <f>IFERROR(H127/I127,0)</f>
        <v>1.6807692146153845</v>
      </c>
      <c r="P127" s="11">
        <f>IFERROR((J127-H127)/H127,0)</f>
        <v>49.572082865910176</v>
      </c>
    </row>
    <row r="128" spans="1:16">
      <c r="A128">
        <v>1121282</v>
      </c>
      <c r="B128" t="s">
        <v>162</v>
      </c>
      <c r="C128" t="s">
        <v>0</v>
      </c>
      <c r="D128" t="s">
        <v>1</v>
      </c>
      <c r="E128" s="14">
        <v>7</v>
      </c>
      <c r="F128" s="14">
        <v>185823</v>
      </c>
      <c r="G128" s="14">
        <v>25</v>
      </c>
      <c r="H128" s="13">
        <v>38.549999360000001</v>
      </c>
      <c r="I128" s="14">
        <v>13</v>
      </c>
      <c r="J128" s="11">
        <f>I128*85</f>
        <v>1105</v>
      </c>
      <c r="K128" s="11">
        <f>J128-H128</f>
        <v>1066.4500006400001</v>
      </c>
      <c r="L128" s="10">
        <f>G128/F128</f>
        <v>1.3453662894259591E-4</v>
      </c>
      <c r="M128" s="14">
        <f>IFERROR(ROUND(I128/G128,2),0)</f>
        <v>0.52</v>
      </c>
      <c r="N128" s="11">
        <f>IFERROR(H128/G128,0)</f>
        <v>1.5419999744000001</v>
      </c>
      <c r="O128" s="11">
        <f>IFERROR(H128/I128,0)</f>
        <v>2.9653845661538463</v>
      </c>
      <c r="P128" s="11">
        <f>IFERROR((J128-H128)/H128,0)</f>
        <v>27.664073108819892</v>
      </c>
    </row>
    <row r="129" spans="1:16">
      <c r="A129">
        <v>1121344</v>
      </c>
      <c r="B129" t="s">
        <v>162</v>
      </c>
      <c r="C129" t="s">
        <v>2</v>
      </c>
      <c r="D129" t="s">
        <v>1</v>
      </c>
      <c r="E129" s="14">
        <v>24</v>
      </c>
      <c r="F129" s="14">
        <v>165177</v>
      </c>
      <c r="G129" s="14">
        <v>23</v>
      </c>
      <c r="H129" s="13">
        <v>41.71999967</v>
      </c>
      <c r="I129" s="14">
        <v>13</v>
      </c>
      <c r="J129" s="11">
        <f>I129*85</f>
        <v>1105</v>
      </c>
      <c r="K129" s="11">
        <f>J129-H129</f>
        <v>1063.2800003299999</v>
      </c>
      <c r="L129" s="10">
        <f>G129/F129</f>
        <v>1.3924456794832209E-4</v>
      </c>
      <c r="M129" s="14">
        <f>IFERROR(ROUND(I129/G129,2),0)</f>
        <v>0.56999999999999995</v>
      </c>
      <c r="N129" s="11">
        <f>IFERROR(H129/G129,0)</f>
        <v>1.8139130291304348</v>
      </c>
      <c r="O129" s="11">
        <f>IFERROR(H129/I129,0)</f>
        <v>3.2092307438461538</v>
      </c>
      <c r="P129" s="11">
        <f>IFERROR((J129-H129)/H129,0)</f>
        <v>25.486098004324358</v>
      </c>
    </row>
    <row r="130" spans="1:16">
      <c r="A130">
        <v>1121369</v>
      </c>
      <c r="B130" t="s">
        <v>162</v>
      </c>
      <c r="C130" t="s">
        <v>2</v>
      </c>
      <c r="D130" t="s">
        <v>1</v>
      </c>
      <c r="E130" s="14">
        <v>28</v>
      </c>
      <c r="F130" s="14">
        <v>826205</v>
      </c>
      <c r="G130" s="14">
        <v>125</v>
      </c>
      <c r="H130" s="13">
        <v>232.37000080000001</v>
      </c>
      <c r="I130" s="14">
        <v>13</v>
      </c>
      <c r="J130" s="11">
        <f>I130*85</f>
        <v>1105</v>
      </c>
      <c r="K130" s="11">
        <f>J130-H130</f>
        <v>872.62999919999993</v>
      </c>
      <c r="L130" s="10">
        <f>G130/F130</f>
        <v>1.5129417033302872E-4</v>
      </c>
      <c r="M130" s="14">
        <f>IFERROR(ROUND(I130/G130,2),0)</f>
        <v>0.1</v>
      </c>
      <c r="N130" s="11">
        <f>IFERROR(H130/G130,0)</f>
        <v>1.8589600064</v>
      </c>
      <c r="O130" s="11">
        <f>IFERROR(H130/I130,0)</f>
        <v>17.874615446153847</v>
      </c>
      <c r="P130" s="11">
        <f>IFERROR((J130-H130)/H130,0)</f>
        <v>3.7553470594126703</v>
      </c>
    </row>
    <row r="131" spans="1:16">
      <c r="A131">
        <v>1121395</v>
      </c>
      <c r="B131" t="s">
        <v>162</v>
      </c>
      <c r="C131" t="s">
        <v>2</v>
      </c>
      <c r="D131" t="s">
        <v>1</v>
      </c>
      <c r="E131" s="14">
        <v>32</v>
      </c>
      <c r="F131" s="14">
        <v>392541</v>
      </c>
      <c r="G131" s="14">
        <v>53</v>
      </c>
      <c r="H131" s="13">
        <v>98.700000169999996</v>
      </c>
      <c r="I131" s="14">
        <v>13</v>
      </c>
      <c r="J131" s="11">
        <f>I131*85</f>
        <v>1105</v>
      </c>
      <c r="K131" s="11">
        <f>J131-H131</f>
        <v>1006.29999983</v>
      </c>
      <c r="L131" s="10">
        <f>G131/F131</f>
        <v>1.3501774336948242E-4</v>
      </c>
      <c r="M131" s="14">
        <f>IFERROR(ROUND(I131/G131,2),0)</f>
        <v>0.25</v>
      </c>
      <c r="N131" s="11">
        <f>IFERROR(H131/G131,0)</f>
        <v>1.8622641541509433</v>
      </c>
      <c r="O131" s="11">
        <f>IFERROR(H131/I131,0)</f>
        <v>7.5923077053846146</v>
      </c>
      <c r="P131" s="11">
        <f>IFERROR((J131-H131)/H131,0)</f>
        <v>10.195542027322775</v>
      </c>
    </row>
    <row r="132" spans="1:16">
      <c r="A132">
        <v>1121403</v>
      </c>
      <c r="B132" t="s">
        <v>162</v>
      </c>
      <c r="C132" t="s">
        <v>2</v>
      </c>
      <c r="D132" t="s">
        <v>1</v>
      </c>
      <c r="E132" s="14">
        <v>63</v>
      </c>
      <c r="F132" s="14">
        <v>228861</v>
      </c>
      <c r="G132" s="14">
        <v>33</v>
      </c>
      <c r="H132" s="13">
        <v>53.38999939</v>
      </c>
      <c r="I132" s="14">
        <v>13</v>
      </c>
      <c r="J132" s="11">
        <f>I132*85</f>
        <v>1105</v>
      </c>
      <c r="K132" s="11">
        <f>J132-H132</f>
        <v>1051.61000061</v>
      </c>
      <c r="L132" s="10">
        <f>G132/F132</f>
        <v>1.4419232634655971E-4</v>
      </c>
      <c r="M132" s="14">
        <f>IFERROR(ROUND(I132/G132,2),0)</f>
        <v>0.39</v>
      </c>
      <c r="N132" s="11">
        <f>IFERROR(H132/G132,0)</f>
        <v>1.6178787693939394</v>
      </c>
      <c r="O132" s="11">
        <f>IFERROR(H132/I132,0)</f>
        <v>4.1069230299999999</v>
      </c>
      <c r="P132" s="11">
        <f>IFERROR((J132-H132)/H132,0)</f>
        <v>19.696759929294316</v>
      </c>
    </row>
    <row r="133" spans="1:16">
      <c r="A133">
        <v>1121443</v>
      </c>
      <c r="B133" t="s">
        <v>162</v>
      </c>
      <c r="C133" t="s">
        <v>3</v>
      </c>
      <c r="D133" t="s">
        <v>1</v>
      </c>
      <c r="E133" s="14">
        <v>10</v>
      </c>
      <c r="F133" s="14">
        <v>463813</v>
      </c>
      <c r="G133" s="14">
        <v>69</v>
      </c>
      <c r="H133" s="13">
        <v>116.3399996</v>
      </c>
      <c r="I133" s="14">
        <v>13</v>
      </c>
      <c r="J133" s="11">
        <f>I133*85</f>
        <v>1105</v>
      </c>
      <c r="K133" s="11">
        <f>J133-H133</f>
        <v>988.66000039999994</v>
      </c>
      <c r="L133" s="10">
        <f>G133/F133</f>
        <v>1.4876685215808958E-4</v>
      </c>
      <c r="M133" s="14">
        <f>IFERROR(ROUND(I133/G133,2),0)</f>
        <v>0.19</v>
      </c>
      <c r="N133" s="11">
        <f>IFERROR(H133/G133,0)</f>
        <v>1.6860869507246377</v>
      </c>
      <c r="O133" s="11">
        <f>IFERROR(H133/I133,0)</f>
        <v>8.949230738461539</v>
      </c>
      <c r="P133" s="11">
        <f>IFERROR((J133-H133)/H133,0)</f>
        <v>8.49802306858526</v>
      </c>
    </row>
    <row r="134" spans="1:16">
      <c r="A134">
        <v>1121455</v>
      </c>
      <c r="B134" t="s">
        <v>162</v>
      </c>
      <c r="C134" t="s">
        <v>3</v>
      </c>
      <c r="D134" t="s">
        <v>1</v>
      </c>
      <c r="E134" s="14">
        <v>16</v>
      </c>
      <c r="F134" s="14">
        <v>594267</v>
      </c>
      <c r="G134" s="14">
        <v>82</v>
      </c>
      <c r="H134" s="13">
        <v>143.30000089999999</v>
      </c>
      <c r="I134" s="14">
        <v>13</v>
      </c>
      <c r="J134" s="11">
        <f>I134*85</f>
        <v>1105</v>
      </c>
      <c r="K134" s="11">
        <f>J134-H134</f>
        <v>961.69999910000001</v>
      </c>
      <c r="L134" s="10">
        <f>G134/F134</f>
        <v>1.37985114435094E-4</v>
      </c>
      <c r="M134" s="14">
        <f>IFERROR(ROUND(I134/G134,2),0)</f>
        <v>0.16</v>
      </c>
      <c r="N134" s="11">
        <f>IFERROR(H134/G134,0)</f>
        <v>1.7475609865853656</v>
      </c>
      <c r="O134" s="11">
        <f>IFERROR(H134/I134,0)</f>
        <v>11.023076992307692</v>
      </c>
      <c r="P134" s="11">
        <f>IFERROR((J134-H134)/H134,0)</f>
        <v>6.7110955551989822</v>
      </c>
    </row>
    <row r="135" spans="1:16">
      <c r="A135">
        <v>1121526</v>
      </c>
      <c r="B135" t="s">
        <v>162</v>
      </c>
      <c r="C135" t="s">
        <v>3</v>
      </c>
      <c r="D135" t="s">
        <v>1</v>
      </c>
      <c r="E135" s="14">
        <v>29</v>
      </c>
      <c r="F135" s="14">
        <v>526209</v>
      </c>
      <c r="G135" s="14">
        <v>85</v>
      </c>
      <c r="H135" s="13">
        <v>126.9299996</v>
      </c>
      <c r="I135" s="14">
        <v>13</v>
      </c>
      <c r="J135" s="11">
        <f>I135*85</f>
        <v>1105</v>
      </c>
      <c r="K135" s="11">
        <f>J135-H135</f>
        <v>978.07000040000003</v>
      </c>
      <c r="L135" s="10">
        <f>G135/F135</f>
        <v>1.6153277500004752E-4</v>
      </c>
      <c r="M135" s="14">
        <f>IFERROR(ROUND(I135/G135,2),0)</f>
        <v>0.15</v>
      </c>
      <c r="N135" s="11">
        <f>IFERROR(H135/G135,0)</f>
        <v>1.4932941129411765</v>
      </c>
      <c r="O135" s="11">
        <f>IFERROR(H135/I135,0)</f>
        <v>9.7638461230769238</v>
      </c>
      <c r="P135" s="11">
        <f>IFERROR((J135-H135)/H135,0)</f>
        <v>7.7055857833627535</v>
      </c>
    </row>
    <row r="136" spans="1:16">
      <c r="A136">
        <v>1121527</v>
      </c>
      <c r="B136" t="s">
        <v>162</v>
      </c>
      <c r="C136" t="s">
        <v>3</v>
      </c>
      <c r="D136" t="s">
        <v>1</v>
      </c>
      <c r="E136" s="14">
        <v>29</v>
      </c>
      <c r="F136" s="14">
        <v>741143</v>
      </c>
      <c r="G136" s="14">
        <v>120</v>
      </c>
      <c r="H136" s="13">
        <v>179.620001</v>
      </c>
      <c r="I136" s="14">
        <v>13</v>
      </c>
      <c r="J136" s="11">
        <f>I136*85</f>
        <v>1105</v>
      </c>
      <c r="K136" s="11">
        <f>J136-H136</f>
        <v>925.379999</v>
      </c>
      <c r="L136" s="10">
        <f>G136/F136</f>
        <v>1.6191207364840522E-4</v>
      </c>
      <c r="M136" s="14">
        <f>IFERROR(ROUND(I136/G136,2),0)</f>
        <v>0.11</v>
      </c>
      <c r="N136" s="11">
        <f>IFERROR(H136/G136,0)</f>
        <v>1.4968333416666666</v>
      </c>
      <c r="O136" s="11">
        <f>IFERROR(H136/I136,0)</f>
        <v>13.816923153846155</v>
      </c>
      <c r="P136" s="11">
        <f>IFERROR((J136-H136)/H136,0)</f>
        <v>5.1518761488037184</v>
      </c>
    </row>
    <row r="137" spans="1:16">
      <c r="A137">
        <v>1121594</v>
      </c>
      <c r="B137" t="s">
        <v>162</v>
      </c>
      <c r="C137" t="s">
        <v>4</v>
      </c>
      <c r="D137" t="s">
        <v>1</v>
      </c>
      <c r="E137" s="14">
        <v>10</v>
      </c>
      <c r="F137" s="14">
        <v>426500</v>
      </c>
      <c r="G137" s="14">
        <v>72</v>
      </c>
      <c r="H137" s="13">
        <v>128.27999879999999</v>
      </c>
      <c r="I137" s="14">
        <v>13</v>
      </c>
      <c r="J137" s="11">
        <f>I137*85</f>
        <v>1105</v>
      </c>
      <c r="K137" s="11">
        <f>J137-H137</f>
        <v>976.72000120000007</v>
      </c>
      <c r="L137" s="10">
        <f>G137/F137</f>
        <v>1.6881594372801875E-4</v>
      </c>
      <c r="M137" s="14">
        <f>IFERROR(ROUND(I137/G137,2),0)</f>
        <v>0.18</v>
      </c>
      <c r="N137" s="11">
        <f>IFERROR(H137/G137,0)</f>
        <v>1.7816666499999998</v>
      </c>
      <c r="O137" s="11">
        <f>IFERROR(H137/I137,0)</f>
        <v>9.8676922153846149</v>
      </c>
      <c r="P137" s="11">
        <f>IFERROR((J137-H137)/H137,0)</f>
        <v>7.6139695224256592</v>
      </c>
    </row>
    <row r="138" spans="1:16">
      <c r="A138">
        <v>1121615</v>
      </c>
      <c r="B138" t="s">
        <v>162</v>
      </c>
      <c r="C138" t="s">
        <v>4</v>
      </c>
      <c r="D138" t="s">
        <v>1</v>
      </c>
      <c r="E138" s="14">
        <v>19</v>
      </c>
      <c r="F138" s="14">
        <v>327227</v>
      </c>
      <c r="G138" s="14">
        <v>65</v>
      </c>
      <c r="H138" s="13">
        <v>116.5599996</v>
      </c>
      <c r="I138" s="14">
        <v>13</v>
      </c>
      <c r="J138" s="11">
        <f>I138*85</f>
        <v>1105</v>
      </c>
      <c r="K138" s="11">
        <f>J138-H138</f>
        <v>988.44000040000003</v>
      </c>
      <c r="L138" s="10">
        <f>G138/F138</f>
        <v>1.9863886537480098E-4</v>
      </c>
      <c r="M138" s="14">
        <f>IFERROR(ROUND(I138/G138,2),0)</f>
        <v>0.2</v>
      </c>
      <c r="N138" s="11">
        <f>IFERROR(H138/G138,0)</f>
        <v>1.7932307630769231</v>
      </c>
      <c r="O138" s="11">
        <f>IFERROR(H138/I138,0)</f>
        <v>8.9661538153846152</v>
      </c>
      <c r="P138" s="11">
        <f>IFERROR((J138-H138)/H138,0)</f>
        <v>8.4800961203846814</v>
      </c>
    </row>
    <row r="139" spans="1:16">
      <c r="A139">
        <v>1121692</v>
      </c>
      <c r="B139" t="s">
        <v>162</v>
      </c>
      <c r="C139" t="s">
        <v>4</v>
      </c>
      <c r="D139" t="s">
        <v>1</v>
      </c>
      <c r="E139" s="14">
        <v>32</v>
      </c>
      <c r="F139" s="14">
        <v>718359</v>
      </c>
      <c r="G139" s="14">
        <v>147</v>
      </c>
      <c r="H139" s="13">
        <v>264.58999970000002</v>
      </c>
      <c r="I139" s="14">
        <v>13</v>
      </c>
      <c r="J139" s="11">
        <f>I139*85</f>
        <v>1105</v>
      </c>
      <c r="K139" s="11">
        <f>J139-H139</f>
        <v>840.41000029999998</v>
      </c>
      <c r="L139" s="10">
        <f>G139/F139</f>
        <v>2.0463305951481085E-4</v>
      </c>
      <c r="M139" s="14">
        <f>IFERROR(ROUND(I139/G139,2),0)</f>
        <v>0.09</v>
      </c>
      <c r="N139" s="11">
        <f>IFERROR(H139/G139,0)</f>
        <v>1.7999319707482995</v>
      </c>
      <c r="O139" s="11">
        <f>IFERROR(H139/I139,0)</f>
        <v>20.353076900000001</v>
      </c>
      <c r="P139" s="11">
        <f>IFERROR((J139-H139)/H139,0)</f>
        <v>3.1762727285720613</v>
      </c>
    </row>
    <row r="140" spans="1:16">
      <c r="A140">
        <v>1121742</v>
      </c>
      <c r="B140" t="s">
        <v>162</v>
      </c>
      <c r="C140" t="s">
        <v>0</v>
      </c>
      <c r="D140" t="s">
        <v>5</v>
      </c>
      <c r="E140" s="14">
        <v>10</v>
      </c>
      <c r="F140" s="14">
        <v>213016</v>
      </c>
      <c r="G140" s="14">
        <v>30</v>
      </c>
      <c r="H140" s="13">
        <v>44.219999549999997</v>
      </c>
      <c r="I140" s="14">
        <v>13</v>
      </c>
      <c r="J140" s="11">
        <f>I140*85</f>
        <v>1105</v>
      </c>
      <c r="K140" s="11">
        <f>J140-H140</f>
        <v>1060.78000045</v>
      </c>
      <c r="L140" s="10">
        <f>G140/F140</f>
        <v>1.408344913058174E-4</v>
      </c>
      <c r="M140" s="14">
        <f>IFERROR(ROUND(I140/G140,2),0)</f>
        <v>0.43</v>
      </c>
      <c r="N140" s="11">
        <f>IFERROR(H140/G140,0)</f>
        <v>1.4739999849999998</v>
      </c>
      <c r="O140" s="11">
        <f>IFERROR(H140/I140,0)</f>
        <v>3.4015384269230768</v>
      </c>
      <c r="P140" s="11">
        <f>IFERROR((J140-H140)/H140,0)</f>
        <v>23.988693153435367</v>
      </c>
    </row>
    <row r="141" spans="1:16">
      <c r="A141">
        <v>1121841</v>
      </c>
      <c r="B141" t="s">
        <v>162</v>
      </c>
      <c r="C141" t="s">
        <v>0</v>
      </c>
      <c r="D141" t="s">
        <v>5</v>
      </c>
      <c r="E141" s="14">
        <v>32</v>
      </c>
      <c r="F141" s="14">
        <v>511726</v>
      </c>
      <c r="G141" s="14">
        <v>77</v>
      </c>
      <c r="H141" s="13">
        <v>123.0900019</v>
      </c>
      <c r="I141" s="14">
        <v>13</v>
      </c>
      <c r="J141" s="11">
        <f>I141*85</f>
        <v>1105</v>
      </c>
      <c r="K141" s="11">
        <f>J141-H141</f>
        <v>981.90999809999994</v>
      </c>
      <c r="L141" s="10">
        <f>G141/F141</f>
        <v>1.5047115057667581E-4</v>
      </c>
      <c r="M141" s="14">
        <f>IFERROR(ROUND(I141/G141,2),0)</f>
        <v>0.17</v>
      </c>
      <c r="N141" s="11">
        <f>IFERROR(H141/G141,0)</f>
        <v>1.5985714532467532</v>
      </c>
      <c r="O141" s="11">
        <f>IFERROR(H141/I141,0)</f>
        <v>9.4684616846153844</v>
      </c>
      <c r="P141" s="11">
        <f>IFERROR((J141-H141)/H141,0)</f>
        <v>7.9771710369922406</v>
      </c>
    </row>
    <row r="142" spans="1:16">
      <c r="A142">
        <v>1121862</v>
      </c>
      <c r="B142" t="s">
        <v>162</v>
      </c>
      <c r="C142" t="s">
        <v>0</v>
      </c>
      <c r="D142" t="s">
        <v>5</v>
      </c>
      <c r="E142" s="14">
        <v>64</v>
      </c>
      <c r="F142" s="14">
        <v>411571</v>
      </c>
      <c r="G142" s="14">
        <v>60</v>
      </c>
      <c r="H142" s="13">
        <v>99.179998400000002</v>
      </c>
      <c r="I142" s="14">
        <v>13</v>
      </c>
      <c r="J142" s="11">
        <f>I142*85</f>
        <v>1105</v>
      </c>
      <c r="K142" s="11">
        <f>J142-H142</f>
        <v>1005.8200016</v>
      </c>
      <c r="L142" s="10">
        <f>G142/F142</f>
        <v>1.4578286613974259E-4</v>
      </c>
      <c r="M142" s="14">
        <f>IFERROR(ROUND(I142/G142,2),0)</f>
        <v>0.22</v>
      </c>
      <c r="N142" s="11">
        <f>IFERROR(H142/G142,0)</f>
        <v>1.6529999733333334</v>
      </c>
      <c r="O142" s="11">
        <f>IFERROR(H142/I142,0)</f>
        <v>7.6292306461538466</v>
      </c>
      <c r="P142" s="11">
        <f>IFERROR((J142-H142)/H142,0)</f>
        <v>10.141359324724489</v>
      </c>
    </row>
    <row r="143" spans="1:16">
      <c r="A143">
        <v>1314299</v>
      </c>
      <c r="B143" t="s">
        <v>162</v>
      </c>
      <c r="C143" t="s">
        <v>0</v>
      </c>
      <c r="D143" t="s">
        <v>1</v>
      </c>
      <c r="E143" s="14">
        <v>103</v>
      </c>
      <c r="F143" s="14">
        <v>189761</v>
      </c>
      <c r="G143" s="14">
        <v>18</v>
      </c>
      <c r="H143" s="13">
        <v>27.329999690000001</v>
      </c>
      <c r="I143" s="14">
        <v>13</v>
      </c>
      <c r="J143" s="11">
        <f>I143*85</f>
        <v>1105</v>
      </c>
      <c r="K143" s="11">
        <f>J143-H143</f>
        <v>1077.67000031</v>
      </c>
      <c r="L143" s="10">
        <f>G143/F143</f>
        <v>9.4856161171157408E-5</v>
      </c>
      <c r="M143" s="14">
        <f>IFERROR(ROUND(I143/G143,2),0)</f>
        <v>0.72</v>
      </c>
      <c r="N143" s="11">
        <f>IFERROR(H143/G143,0)</f>
        <v>1.5183333161111112</v>
      </c>
      <c r="O143" s="11">
        <f>IFERROR(H143/I143,0)</f>
        <v>2.1023076684615387</v>
      </c>
      <c r="P143" s="11">
        <f>IFERROR((J143-H143)/H143,0)</f>
        <v>39.431760429339398</v>
      </c>
    </row>
    <row r="144" spans="1:16">
      <c r="A144">
        <v>1314314</v>
      </c>
      <c r="B144" t="s">
        <v>162</v>
      </c>
      <c r="C144" t="s">
        <v>2</v>
      </c>
      <c r="D144" t="s">
        <v>1</v>
      </c>
      <c r="E144" s="14">
        <v>103</v>
      </c>
      <c r="F144" s="14">
        <v>92080</v>
      </c>
      <c r="G144" s="14">
        <v>12</v>
      </c>
      <c r="H144" s="13">
        <v>16.940000179999998</v>
      </c>
      <c r="I144" s="14">
        <v>13</v>
      </c>
      <c r="J144" s="11">
        <f>I144*85</f>
        <v>1105</v>
      </c>
      <c r="K144" s="11">
        <f>J144-H144</f>
        <v>1088.05999982</v>
      </c>
      <c r="L144" s="10">
        <f>G144/F144</f>
        <v>1.3032145960034753E-4</v>
      </c>
      <c r="M144" s="14">
        <f>IFERROR(ROUND(I144/G144,2),0)</f>
        <v>1.08</v>
      </c>
      <c r="N144" s="11">
        <f>IFERROR(H144/G144,0)</f>
        <v>1.4116666816666665</v>
      </c>
      <c r="O144" s="11">
        <f>IFERROR(H144/I144,0)</f>
        <v>1.3030769369230768</v>
      </c>
      <c r="P144" s="11">
        <f>IFERROR((J144-H144)/H144,0)</f>
        <v>64.230223628014159</v>
      </c>
    </row>
    <row r="145" spans="1:16">
      <c r="A145">
        <v>1314326</v>
      </c>
      <c r="B145" t="s">
        <v>162</v>
      </c>
      <c r="C145" t="s">
        <v>3</v>
      </c>
      <c r="D145" t="s">
        <v>1</v>
      </c>
      <c r="E145" s="14">
        <v>100</v>
      </c>
      <c r="F145" s="14">
        <v>76703</v>
      </c>
      <c r="G145" s="14">
        <v>9</v>
      </c>
      <c r="H145" s="13">
        <v>12.149999619999999</v>
      </c>
      <c r="I145" s="14">
        <v>13</v>
      </c>
      <c r="J145" s="11">
        <f>I145*85</f>
        <v>1105</v>
      </c>
      <c r="K145" s="11">
        <f>J145-H145</f>
        <v>1092.85000038</v>
      </c>
      <c r="L145" s="10">
        <f>G145/F145</f>
        <v>1.1733569743034823E-4</v>
      </c>
      <c r="M145" s="14">
        <f>IFERROR(ROUND(I145/G145,2),0)</f>
        <v>1.44</v>
      </c>
      <c r="N145" s="11">
        <f>IFERROR(H145/G145,0)</f>
        <v>1.3499999577777777</v>
      </c>
      <c r="O145" s="11">
        <f>IFERROR(H145/I145,0)</f>
        <v>0.93461535538461527</v>
      </c>
      <c r="P145" s="11">
        <f>IFERROR((J145-H145)/H145,0)</f>
        <v>89.946504902030611</v>
      </c>
    </row>
    <row r="146" spans="1:16">
      <c r="A146">
        <v>1314341</v>
      </c>
      <c r="B146" t="s">
        <v>162</v>
      </c>
      <c r="C146" t="s">
        <v>4</v>
      </c>
      <c r="D146" t="s">
        <v>1</v>
      </c>
      <c r="E146" s="14">
        <v>100</v>
      </c>
      <c r="F146" s="14">
        <v>101410</v>
      </c>
      <c r="G146" s="14">
        <v>12</v>
      </c>
      <c r="H146" s="13">
        <v>17.940000059999999</v>
      </c>
      <c r="I146" s="14">
        <v>13</v>
      </c>
      <c r="J146" s="11">
        <f>I146*85</f>
        <v>1105</v>
      </c>
      <c r="K146" s="11">
        <f>J146-H146</f>
        <v>1087.0599999399999</v>
      </c>
      <c r="L146" s="10">
        <f>G146/F146</f>
        <v>1.1833152549058279E-4</v>
      </c>
      <c r="M146" s="14">
        <f>IFERROR(ROUND(I146/G146,2),0)</f>
        <v>1.08</v>
      </c>
      <c r="N146" s="11">
        <f>IFERROR(H146/G146,0)</f>
        <v>1.4950000049999999</v>
      </c>
      <c r="O146" s="11">
        <f>IFERROR(H146/I146,0)</f>
        <v>1.3800000046153846</v>
      </c>
      <c r="P146" s="11">
        <f>IFERROR((J146-H146)/H146,0)</f>
        <v>60.594202692550041</v>
      </c>
    </row>
    <row r="147" spans="1:16">
      <c r="A147">
        <v>1314372</v>
      </c>
      <c r="B147" t="s">
        <v>162</v>
      </c>
      <c r="C147" t="s">
        <v>2</v>
      </c>
      <c r="D147" t="s">
        <v>5</v>
      </c>
      <c r="E147" s="14">
        <v>101</v>
      </c>
      <c r="F147" s="14">
        <v>975884</v>
      </c>
      <c r="G147" s="14">
        <v>167</v>
      </c>
      <c r="H147" s="13">
        <v>237.3199975</v>
      </c>
      <c r="I147" s="14">
        <v>13</v>
      </c>
      <c r="J147" s="11">
        <f>I147*85</f>
        <v>1105</v>
      </c>
      <c r="K147" s="11">
        <f>J147-H147</f>
        <v>867.6800025</v>
      </c>
      <c r="L147" s="10">
        <f>G147/F147</f>
        <v>1.7112689622946988E-4</v>
      </c>
      <c r="M147" s="14">
        <f>IFERROR(ROUND(I147/G147,2),0)</f>
        <v>0.08</v>
      </c>
      <c r="N147" s="11">
        <f>IFERROR(H147/G147,0)</f>
        <v>1.4210778293413173</v>
      </c>
      <c r="O147" s="11">
        <f>IFERROR(H147/I147,0)</f>
        <v>18.255384423076922</v>
      </c>
      <c r="P147" s="11">
        <f>IFERROR((J147-H147)/H147,0)</f>
        <v>3.6561605075021122</v>
      </c>
    </row>
    <row r="148" spans="1:16">
      <c r="A148">
        <v>1314379</v>
      </c>
      <c r="B148" t="s">
        <v>162</v>
      </c>
      <c r="C148" t="s">
        <v>2</v>
      </c>
      <c r="D148" t="s">
        <v>5</v>
      </c>
      <c r="E148" s="14">
        <v>108</v>
      </c>
      <c r="F148" s="14">
        <v>502710</v>
      </c>
      <c r="G148" s="14">
        <v>72</v>
      </c>
      <c r="H148" s="13">
        <v>105.2199969</v>
      </c>
      <c r="I148" s="14">
        <v>13</v>
      </c>
      <c r="J148" s="11">
        <f>I148*85</f>
        <v>1105</v>
      </c>
      <c r="K148" s="11">
        <f>J148-H148</f>
        <v>999.78000310000004</v>
      </c>
      <c r="L148" s="10">
        <f>G148/F148</f>
        <v>1.4322372739750553E-4</v>
      </c>
      <c r="M148" s="14">
        <f>IFERROR(ROUND(I148/G148,2),0)</f>
        <v>0.18</v>
      </c>
      <c r="N148" s="11">
        <f>IFERROR(H148/G148,0)</f>
        <v>1.4613888458333333</v>
      </c>
      <c r="O148" s="11">
        <f>IFERROR(H148/I148,0)</f>
        <v>8.0938459153846161</v>
      </c>
      <c r="P148" s="11">
        <f>IFERROR((J148-H148)/H148,0)</f>
        <v>9.5018060497585903</v>
      </c>
    </row>
    <row r="149" spans="1:16">
      <c r="A149">
        <v>1314406</v>
      </c>
      <c r="B149" t="s">
        <v>162</v>
      </c>
      <c r="C149" t="s">
        <v>4</v>
      </c>
      <c r="D149" t="s">
        <v>5</v>
      </c>
      <c r="E149" s="14">
        <v>105</v>
      </c>
      <c r="F149" s="14">
        <v>1118200</v>
      </c>
      <c r="G149" s="14">
        <v>235</v>
      </c>
      <c r="H149" s="13">
        <v>333.74999430000003</v>
      </c>
      <c r="I149" s="14">
        <v>13</v>
      </c>
      <c r="J149" s="11">
        <f>I149*85</f>
        <v>1105</v>
      </c>
      <c r="K149" s="11">
        <f>J149-H149</f>
        <v>771.25000569999997</v>
      </c>
      <c r="L149" s="10">
        <f>G149/F149</f>
        <v>2.1015918440350564E-4</v>
      </c>
      <c r="M149" s="14">
        <f>IFERROR(ROUND(I149/G149,2),0)</f>
        <v>0.06</v>
      </c>
      <c r="N149" s="11">
        <f>IFERROR(H149/G149,0)</f>
        <v>1.4202127417021277</v>
      </c>
      <c r="O149" s="11">
        <f>IFERROR(H149/I149,0)</f>
        <v>25.673076484615386</v>
      </c>
      <c r="P149" s="11">
        <f>IFERROR((J149-H149)/H149,0)</f>
        <v>2.3108614797660234</v>
      </c>
    </row>
    <row r="150" spans="1:16">
      <c r="A150">
        <v>1314410</v>
      </c>
      <c r="B150" t="s">
        <v>162</v>
      </c>
      <c r="C150" t="s">
        <v>4</v>
      </c>
      <c r="D150" t="s">
        <v>5</v>
      </c>
      <c r="E150" s="14">
        <v>109</v>
      </c>
      <c r="F150" s="14">
        <v>1129773</v>
      </c>
      <c r="G150" s="14">
        <v>252</v>
      </c>
      <c r="H150" s="13">
        <v>358.18999700000001</v>
      </c>
      <c r="I150" s="14">
        <v>13</v>
      </c>
      <c r="J150" s="11">
        <f>I150*85</f>
        <v>1105</v>
      </c>
      <c r="K150" s="11">
        <f>J150-H150</f>
        <v>746.81000300000005</v>
      </c>
      <c r="L150" s="10">
        <f>G150/F150</f>
        <v>2.2305365768167588E-4</v>
      </c>
      <c r="M150" s="14">
        <f>IFERROR(ROUND(I150/G150,2),0)</f>
        <v>0.05</v>
      </c>
      <c r="N150" s="11">
        <f>IFERROR(H150/G150,0)</f>
        <v>1.421388876984127</v>
      </c>
      <c r="O150" s="11">
        <f>IFERROR(H150/I150,0)</f>
        <v>27.553076692307691</v>
      </c>
      <c r="P150" s="11">
        <f>IFERROR((J150-H150)/H150,0)</f>
        <v>2.0849549380353021</v>
      </c>
    </row>
    <row r="151" spans="1:16">
      <c r="A151">
        <v>1121123</v>
      </c>
      <c r="B151" t="s">
        <v>162</v>
      </c>
      <c r="C151" t="s">
        <v>0</v>
      </c>
      <c r="D151" t="s">
        <v>1</v>
      </c>
      <c r="E151" s="14">
        <v>20</v>
      </c>
      <c r="F151" s="14">
        <v>171202</v>
      </c>
      <c r="G151" s="14">
        <v>22</v>
      </c>
      <c r="H151" s="13">
        <v>36.530000209999997</v>
      </c>
      <c r="I151" s="14">
        <v>12</v>
      </c>
      <c r="J151" s="11">
        <f>I151*85</f>
        <v>1020</v>
      </c>
      <c r="K151" s="11">
        <f>J151-H151</f>
        <v>983.46999978999997</v>
      </c>
      <c r="L151" s="10">
        <f>G151/F151</f>
        <v>1.285031716919195E-4</v>
      </c>
      <c r="M151" s="14">
        <f>IFERROR(ROUND(I151/G151,2),0)</f>
        <v>0.55000000000000004</v>
      </c>
      <c r="N151" s="11">
        <f>IFERROR(H151/G151,0)</f>
        <v>1.6604545549999998</v>
      </c>
      <c r="O151" s="11">
        <f>IFERROR(H151/I151,0)</f>
        <v>3.0441666841666666</v>
      </c>
      <c r="P151" s="11">
        <f>IFERROR((J151-H151)/H151,0)</f>
        <v>26.922255519746138</v>
      </c>
    </row>
    <row r="152" spans="1:16">
      <c r="A152">
        <v>1121128</v>
      </c>
      <c r="B152" t="s">
        <v>162</v>
      </c>
      <c r="C152" t="s">
        <v>0</v>
      </c>
      <c r="D152" t="s">
        <v>1</v>
      </c>
      <c r="E152" s="14">
        <v>21</v>
      </c>
      <c r="F152" s="14">
        <v>286553</v>
      </c>
      <c r="G152" s="14">
        <v>34</v>
      </c>
      <c r="H152" s="13">
        <v>62.060000420000001</v>
      </c>
      <c r="I152" s="14">
        <v>12</v>
      </c>
      <c r="J152" s="11">
        <f>I152*85</f>
        <v>1020</v>
      </c>
      <c r="K152" s="11">
        <f>J152-H152</f>
        <v>957.93999957999995</v>
      </c>
      <c r="L152" s="10">
        <f>G152/F152</f>
        <v>1.1865169794069509E-4</v>
      </c>
      <c r="M152" s="14">
        <f>IFERROR(ROUND(I152/G152,2),0)</f>
        <v>0.35</v>
      </c>
      <c r="N152" s="11">
        <f>IFERROR(H152/G152,0)</f>
        <v>1.8252941300000001</v>
      </c>
      <c r="O152" s="11">
        <f>IFERROR(H152/I152,0)</f>
        <v>5.1716667016666671</v>
      </c>
      <c r="P152" s="11">
        <f>IFERROR((J152-H152)/H152,0)</f>
        <v>15.435707268723862</v>
      </c>
    </row>
    <row r="153" spans="1:16">
      <c r="A153">
        <v>1121131</v>
      </c>
      <c r="B153" t="s">
        <v>162</v>
      </c>
      <c r="C153" t="s">
        <v>0</v>
      </c>
      <c r="D153" t="s">
        <v>1</v>
      </c>
      <c r="E153" s="14">
        <v>21</v>
      </c>
      <c r="F153" s="14">
        <v>83591</v>
      </c>
      <c r="G153" s="14">
        <v>7</v>
      </c>
      <c r="H153" s="13">
        <v>14.14000046</v>
      </c>
      <c r="I153" s="14">
        <v>12</v>
      </c>
      <c r="J153" s="11">
        <f>I153*85</f>
        <v>1020</v>
      </c>
      <c r="K153" s="11">
        <f>J153-H153</f>
        <v>1005.85999954</v>
      </c>
      <c r="L153" s="10">
        <f>G153/F153</f>
        <v>8.3741072603509952E-5</v>
      </c>
      <c r="M153" s="14">
        <f>IFERROR(ROUND(I153/G153,2),0)</f>
        <v>1.71</v>
      </c>
      <c r="N153" s="11">
        <f>IFERROR(H153/G153,0)</f>
        <v>2.0200000657142856</v>
      </c>
      <c r="O153" s="11">
        <f>IFERROR(H153/I153,0)</f>
        <v>1.1783333716666666</v>
      </c>
      <c r="P153" s="11">
        <f>IFERROR((J153-H153)/H153,0)</f>
        <v>71.135782660363503</v>
      </c>
    </row>
    <row r="154" spans="1:16">
      <c r="A154">
        <v>1121177</v>
      </c>
      <c r="B154" t="s">
        <v>162</v>
      </c>
      <c r="C154" t="s">
        <v>0</v>
      </c>
      <c r="D154" t="s">
        <v>1</v>
      </c>
      <c r="E154" s="14">
        <v>26</v>
      </c>
      <c r="F154" s="14">
        <v>26316</v>
      </c>
      <c r="G154" s="14">
        <v>2</v>
      </c>
      <c r="H154" s="13">
        <v>3.2400000100000002</v>
      </c>
      <c r="I154" s="14">
        <v>12</v>
      </c>
      <c r="J154" s="11">
        <f>I154*85</f>
        <v>1020</v>
      </c>
      <c r="K154" s="11">
        <f>J154-H154</f>
        <v>1016.75999999</v>
      </c>
      <c r="L154" s="10">
        <f>G154/F154</f>
        <v>7.5999392004863956E-5</v>
      </c>
      <c r="M154" s="14">
        <f>IFERROR(ROUND(I154/G154,2),0)</f>
        <v>6</v>
      </c>
      <c r="N154" s="11">
        <f>IFERROR(H154/G154,0)</f>
        <v>1.6200000050000001</v>
      </c>
      <c r="O154" s="11">
        <f>IFERROR(H154/I154,0)</f>
        <v>0.27000000083333336</v>
      </c>
      <c r="P154" s="11">
        <f>IFERROR((J154-H154)/H154,0)</f>
        <v>313.81481384316413</v>
      </c>
    </row>
    <row r="155" spans="1:16">
      <c r="A155">
        <v>1121229</v>
      </c>
      <c r="B155" t="s">
        <v>162</v>
      </c>
      <c r="C155" t="s">
        <v>0</v>
      </c>
      <c r="D155" t="s">
        <v>1</v>
      </c>
      <c r="E155" s="14">
        <v>32</v>
      </c>
      <c r="F155" s="14">
        <v>404866</v>
      </c>
      <c r="G155" s="14">
        <v>43</v>
      </c>
      <c r="H155" s="13">
        <v>87.420000790000003</v>
      </c>
      <c r="I155" s="14">
        <v>12</v>
      </c>
      <c r="J155" s="11">
        <f>I155*85</f>
        <v>1020</v>
      </c>
      <c r="K155" s="11">
        <f>J155-H155</f>
        <v>932.57999920999998</v>
      </c>
      <c r="L155" s="10">
        <f>G155/F155</f>
        <v>1.0620797992422184E-4</v>
      </c>
      <c r="M155" s="14">
        <f>IFERROR(ROUND(I155/G155,2),0)</f>
        <v>0.28000000000000003</v>
      </c>
      <c r="N155" s="11">
        <f>IFERROR(H155/G155,0)</f>
        <v>2.0330232741860468</v>
      </c>
      <c r="O155" s="11">
        <f>IFERROR(H155/I155,0)</f>
        <v>7.2850000658333336</v>
      </c>
      <c r="P155" s="11">
        <f>IFERROR((J155-H155)/H155,0)</f>
        <v>10.66781046422363</v>
      </c>
    </row>
    <row r="156" spans="1:16">
      <c r="A156">
        <v>1121246</v>
      </c>
      <c r="B156" t="s">
        <v>162</v>
      </c>
      <c r="C156" t="s">
        <v>0</v>
      </c>
      <c r="D156" t="s">
        <v>1</v>
      </c>
      <c r="E156" s="14">
        <v>36</v>
      </c>
      <c r="F156" s="14">
        <v>105047</v>
      </c>
      <c r="G156" s="14">
        <v>13</v>
      </c>
      <c r="H156" s="13">
        <v>20.209999400000001</v>
      </c>
      <c r="I156" s="14">
        <v>12</v>
      </c>
      <c r="J156" s="11">
        <f>I156*85</f>
        <v>1020</v>
      </c>
      <c r="K156" s="11">
        <f>J156-H156</f>
        <v>999.79000059999998</v>
      </c>
      <c r="L156" s="10">
        <f>G156/F156</f>
        <v>1.2375412910411529E-4</v>
      </c>
      <c r="M156" s="14">
        <f>IFERROR(ROUND(I156/G156,2),0)</f>
        <v>0.92</v>
      </c>
      <c r="N156" s="11">
        <f>IFERROR(H156/G156,0)</f>
        <v>1.5546153384615384</v>
      </c>
      <c r="O156" s="11">
        <f>IFERROR(H156/I156,0)</f>
        <v>1.6841666166666667</v>
      </c>
      <c r="P156" s="11">
        <f>IFERROR((J156-H156)/H156,0)</f>
        <v>49.470065822960883</v>
      </c>
    </row>
    <row r="157" spans="1:16">
      <c r="A157">
        <v>1121263</v>
      </c>
      <c r="B157" t="s">
        <v>162</v>
      </c>
      <c r="C157" t="s">
        <v>0</v>
      </c>
      <c r="D157" t="s">
        <v>1</v>
      </c>
      <c r="E157" s="14">
        <v>64</v>
      </c>
      <c r="F157" s="14">
        <v>156101</v>
      </c>
      <c r="G157" s="14">
        <v>19</v>
      </c>
      <c r="H157" s="13">
        <v>29.750000480000001</v>
      </c>
      <c r="I157" s="14">
        <v>12</v>
      </c>
      <c r="J157" s="11">
        <f>I157*85</f>
        <v>1020</v>
      </c>
      <c r="K157" s="11">
        <f>J157-H157</f>
        <v>990.24999951999996</v>
      </c>
      <c r="L157" s="10">
        <f>G157/F157</f>
        <v>1.2171606844286712E-4</v>
      </c>
      <c r="M157" s="14">
        <f>IFERROR(ROUND(I157/G157,2),0)</f>
        <v>0.63</v>
      </c>
      <c r="N157" s="11">
        <f>IFERROR(H157/G157,0)</f>
        <v>1.5657894989473684</v>
      </c>
      <c r="O157" s="11">
        <f>IFERROR(H157/I157,0)</f>
        <v>2.4791667066666667</v>
      </c>
      <c r="P157" s="11">
        <f>IFERROR((J157-H157)/H157,0)</f>
        <v>33.285713732533019</v>
      </c>
    </row>
    <row r="158" spans="1:16">
      <c r="A158">
        <v>1121269</v>
      </c>
      <c r="B158" t="s">
        <v>162</v>
      </c>
      <c r="C158" t="s">
        <v>0</v>
      </c>
      <c r="D158" t="s">
        <v>1</v>
      </c>
      <c r="E158" s="14">
        <v>65</v>
      </c>
      <c r="F158" s="14">
        <v>296413</v>
      </c>
      <c r="G158" s="14">
        <v>50</v>
      </c>
      <c r="H158" s="13">
        <v>76.439999580000006</v>
      </c>
      <c r="I158" s="14">
        <v>12</v>
      </c>
      <c r="J158" s="11">
        <f>I158*85</f>
        <v>1020</v>
      </c>
      <c r="K158" s="11">
        <f>J158-H158</f>
        <v>943.56000042000005</v>
      </c>
      <c r="L158" s="10">
        <f>G158/F158</f>
        <v>1.686835597628984E-4</v>
      </c>
      <c r="M158" s="14">
        <f>IFERROR(ROUND(I158/G158,2),0)</f>
        <v>0.24</v>
      </c>
      <c r="N158" s="11">
        <f>IFERROR(H158/G158,0)</f>
        <v>1.5287999916000001</v>
      </c>
      <c r="O158" s="11">
        <f>IFERROR(H158/I158,0)</f>
        <v>6.3699999650000008</v>
      </c>
      <c r="P158" s="11">
        <f>IFERROR((J158-H158)/H158,0)</f>
        <v>12.343799131402349</v>
      </c>
    </row>
    <row r="159" spans="1:16">
      <c r="A159">
        <v>1121287</v>
      </c>
      <c r="B159" t="s">
        <v>162</v>
      </c>
      <c r="C159" t="s">
        <v>0</v>
      </c>
      <c r="D159" t="s">
        <v>1</v>
      </c>
      <c r="E159" s="14">
        <v>66</v>
      </c>
      <c r="F159" s="14">
        <v>344618</v>
      </c>
      <c r="G159" s="14">
        <v>51</v>
      </c>
      <c r="H159" s="13">
        <v>89.760000469999994</v>
      </c>
      <c r="I159" s="14">
        <v>12</v>
      </c>
      <c r="J159" s="11">
        <f>I159*85</f>
        <v>1020</v>
      </c>
      <c r="K159" s="11">
        <f>J159-H159</f>
        <v>930.23999952999998</v>
      </c>
      <c r="L159" s="10">
        <f>G159/F159</f>
        <v>1.4798994829057102E-4</v>
      </c>
      <c r="M159" s="14">
        <f>IFERROR(ROUND(I159/G159,2),0)</f>
        <v>0.24</v>
      </c>
      <c r="N159" s="11">
        <f>IFERROR(H159/G159,0)</f>
        <v>1.7600000092156862</v>
      </c>
      <c r="O159" s="11">
        <f>IFERROR(H159/I159,0)</f>
        <v>7.4800000391666659</v>
      </c>
      <c r="P159" s="11">
        <f>IFERROR((J159-H159)/H159,0)</f>
        <v>10.363636304134257</v>
      </c>
    </row>
    <row r="160" spans="1:16">
      <c r="A160">
        <v>1121293</v>
      </c>
      <c r="B160" t="s">
        <v>162</v>
      </c>
      <c r="C160" t="s">
        <v>2</v>
      </c>
      <c r="D160" t="s">
        <v>1</v>
      </c>
      <c r="E160" s="14">
        <v>10</v>
      </c>
      <c r="F160" s="14">
        <v>427729</v>
      </c>
      <c r="G160" s="14">
        <v>50</v>
      </c>
      <c r="H160" s="13">
        <v>96.8999989</v>
      </c>
      <c r="I160" s="14">
        <v>12</v>
      </c>
      <c r="J160" s="11">
        <f>I160*85</f>
        <v>1020</v>
      </c>
      <c r="K160" s="11">
        <f>J160-H160</f>
        <v>923.10000109999999</v>
      </c>
      <c r="L160" s="10">
        <f>G160/F160</f>
        <v>1.1689644611424524E-4</v>
      </c>
      <c r="M160" s="14">
        <f>IFERROR(ROUND(I160/G160,2),0)</f>
        <v>0.24</v>
      </c>
      <c r="N160" s="11">
        <f>IFERROR(H160/G160,0)</f>
        <v>1.9379999779999999</v>
      </c>
      <c r="O160" s="11">
        <f>IFERROR(H160/I160,0)</f>
        <v>8.0749999083333339</v>
      </c>
      <c r="P160" s="11">
        <f>IFERROR((J160-H160)/H160,0)</f>
        <v>9.5263159089674669</v>
      </c>
    </row>
    <row r="161" spans="1:16">
      <c r="A161">
        <v>1121309</v>
      </c>
      <c r="B161" t="s">
        <v>162</v>
      </c>
      <c r="C161" t="s">
        <v>2</v>
      </c>
      <c r="D161" t="s">
        <v>1</v>
      </c>
      <c r="E161" s="14">
        <v>18</v>
      </c>
      <c r="F161" s="14">
        <v>131060</v>
      </c>
      <c r="G161" s="14">
        <v>16</v>
      </c>
      <c r="H161" s="13">
        <v>28.049999589999999</v>
      </c>
      <c r="I161" s="14">
        <v>12</v>
      </c>
      <c r="J161" s="11">
        <f>I161*85</f>
        <v>1020</v>
      </c>
      <c r="K161" s="11">
        <f>J161-H161</f>
        <v>991.95000041000003</v>
      </c>
      <c r="L161" s="10">
        <f>G161/F161</f>
        <v>1.220814893941706E-4</v>
      </c>
      <c r="M161" s="14">
        <f>IFERROR(ROUND(I161/G161,2),0)</f>
        <v>0.75</v>
      </c>
      <c r="N161" s="11">
        <f>IFERROR(H161/G161,0)</f>
        <v>1.7531249743749999</v>
      </c>
      <c r="O161" s="11">
        <f>IFERROR(H161/I161,0)</f>
        <v>2.3374999658333331</v>
      </c>
      <c r="P161" s="11">
        <f>IFERROR((J161-H161)/H161,0)</f>
        <v>35.363636895154769</v>
      </c>
    </row>
    <row r="162" spans="1:16">
      <c r="A162">
        <v>1121321</v>
      </c>
      <c r="B162" t="s">
        <v>162</v>
      </c>
      <c r="C162" t="s">
        <v>2</v>
      </c>
      <c r="D162" t="s">
        <v>1</v>
      </c>
      <c r="E162" s="14">
        <v>20</v>
      </c>
      <c r="F162" s="14">
        <v>127476</v>
      </c>
      <c r="G162" s="14">
        <v>21</v>
      </c>
      <c r="H162" s="13">
        <v>30.15000057</v>
      </c>
      <c r="I162" s="14">
        <v>12</v>
      </c>
      <c r="J162" s="11">
        <f>I162*85</f>
        <v>1020</v>
      </c>
      <c r="K162" s="11">
        <f>J162-H162</f>
        <v>989.84999943000003</v>
      </c>
      <c r="L162" s="10">
        <f>G162/F162</f>
        <v>1.6473689165019299E-4</v>
      </c>
      <c r="M162" s="14">
        <f>IFERROR(ROUND(I162/G162,2),0)</f>
        <v>0.56999999999999995</v>
      </c>
      <c r="N162" s="11">
        <f>IFERROR(H162/G162,0)</f>
        <v>1.4357143128571428</v>
      </c>
      <c r="O162" s="11">
        <f>IFERROR(H162/I162,0)</f>
        <v>2.5125000475000001</v>
      </c>
      <c r="P162" s="11">
        <f>IFERROR((J162-H162)/H162,0)</f>
        <v>32.83084513155616</v>
      </c>
    </row>
    <row r="163" spans="1:16">
      <c r="A163">
        <v>1121327</v>
      </c>
      <c r="B163" t="s">
        <v>162</v>
      </c>
      <c r="C163" t="s">
        <v>2</v>
      </c>
      <c r="D163" t="s">
        <v>1</v>
      </c>
      <c r="E163" s="14">
        <v>21</v>
      </c>
      <c r="F163" s="14">
        <v>271091</v>
      </c>
      <c r="G163" s="14">
        <v>42</v>
      </c>
      <c r="H163" s="13">
        <v>78.039999839999993</v>
      </c>
      <c r="I163" s="14">
        <v>12</v>
      </c>
      <c r="J163" s="11">
        <f>I163*85</f>
        <v>1020</v>
      </c>
      <c r="K163" s="11">
        <f>J163-H163</f>
        <v>941.96000016000005</v>
      </c>
      <c r="L163" s="10">
        <f>G163/F163</f>
        <v>1.5492952550988414E-4</v>
      </c>
      <c r="M163" s="14">
        <f>IFERROR(ROUND(I163/G163,2),0)</f>
        <v>0.28999999999999998</v>
      </c>
      <c r="N163" s="11">
        <f>IFERROR(H163/G163,0)</f>
        <v>1.8580952342857142</v>
      </c>
      <c r="O163" s="11">
        <f>IFERROR(H163/I163,0)</f>
        <v>6.5033333199999994</v>
      </c>
      <c r="P163" s="11">
        <f>IFERROR((J163-H163)/H163,0)</f>
        <v>12.070220426591945</v>
      </c>
    </row>
    <row r="164" spans="1:16">
      <c r="A164">
        <v>1121370</v>
      </c>
      <c r="B164" t="s">
        <v>162</v>
      </c>
      <c r="C164" t="s">
        <v>2</v>
      </c>
      <c r="D164" t="s">
        <v>1</v>
      </c>
      <c r="E164" s="14">
        <v>28</v>
      </c>
      <c r="F164" s="14">
        <v>550954</v>
      </c>
      <c r="G164" s="14">
        <v>84</v>
      </c>
      <c r="H164" s="13">
        <v>150.1400012</v>
      </c>
      <c r="I164" s="14">
        <v>12</v>
      </c>
      <c r="J164" s="11">
        <f>I164*85</f>
        <v>1020</v>
      </c>
      <c r="K164" s="11">
        <f>J164-H164</f>
        <v>869.85999879999997</v>
      </c>
      <c r="L164" s="10">
        <f>G164/F164</f>
        <v>1.5246281903752399E-4</v>
      </c>
      <c r="M164" s="14">
        <f>IFERROR(ROUND(I164/G164,2),0)</f>
        <v>0.14000000000000001</v>
      </c>
      <c r="N164" s="11">
        <f>IFERROR(H164/G164,0)</f>
        <v>1.7873809666666667</v>
      </c>
      <c r="O164" s="11">
        <f>IFERROR(H164/I164,0)</f>
        <v>12.511666766666666</v>
      </c>
      <c r="P164" s="11">
        <f>IFERROR((J164-H164)/H164,0)</f>
        <v>5.7936591970667974</v>
      </c>
    </row>
    <row r="165" spans="1:16">
      <c r="A165">
        <v>1121380</v>
      </c>
      <c r="B165" t="s">
        <v>162</v>
      </c>
      <c r="C165" t="s">
        <v>2</v>
      </c>
      <c r="D165" t="s">
        <v>1</v>
      </c>
      <c r="E165" s="14">
        <v>30</v>
      </c>
      <c r="F165" s="14">
        <v>131091</v>
      </c>
      <c r="G165" s="14">
        <v>18</v>
      </c>
      <c r="H165" s="13">
        <v>34.230000259999997</v>
      </c>
      <c r="I165" s="14">
        <v>12</v>
      </c>
      <c r="J165" s="11">
        <f>I165*85</f>
        <v>1020</v>
      </c>
      <c r="K165" s="11">
        <f>J165-H165</f>
        <v>985.76999974</v>
      </c>
      <c r="L165" s="10">
        <f>G165/F165</f>
        <v>1.3730919742774102E-4</v>
      </c>
      <c r="M165" s="14">
        <f>IFERROR(ROUND(I165/G165,2),0)</f>
        <v>0.67</v>
      </c>
      <c r="N165" s="11">
        <f>IFERROR(H165/G165,0)</f>
        <v>1.9016666811111109</v>
      </c>
      <c r="O165" s="11">
        <f>IFERROR(H165/I165,0)</f>
        <v>2.8525000216666663</v>
      </c>
      <c r="P165" s="11">
        <f>IFERROR((J165-H165)/H165,0)</f>
        <v>28.79842221012008</v>
      </c>
    </row>
    <row r="166" spans="1:16">
      <c r="A166">
        <v>1121400</v>
      </c>
      <c r="B166" t="s">
        <v>162</v>
      </c>
      <c r="C166" t="s">
        <v>2</v>
      </c>
      <c r="D166" t="s">
        <v>1</v>
      </c>
      <c r="E166" s="14">
        <v>36</v>
      </c>
      <c r="F166" s="14">
        <v>53933</v>
      </c>
      <c r="G166" s="14">
        <v>6</v>
      </c>
      <c r="H166" s="13">
        <v>9.9299999480000007</v>
      </c>
      <c r="I166" s="14">
        <v>12</v>
      </c>
      <c r="J166" s="11">
        <f>I166*85</f>
        <v>1020</v>
      </c>
      <c r="K166" s="11">
        <f>J166-H166</f>
        <v>1010.070000052</v>
      </c>
      <c r="L166" s="10">
        <f>G166/F166</f>
        <v>1.1124914245452691E-4</v>
      </c>
      <c r="M166" s="14">
        <f>IFERROR(ROUND(I166/G166,2),0)</f>
        <v>2</v>
      </c>
      <c r="N166" s="11">
        <f>IFERROR(H166/G166,0)</f>
        <v>1.6549999913333335</v>
      </c>
      <c r="O166" s="11">
        <f>IFERROR(H166/I166,0)</f>
        <v>0.82749999566666677</v>
      </c>
      <c r="P166" s="11">
        <f>IFERROR((J166-H166)/H166,0)</f>
        <v>101.71903377053269</v>
      </c>
    </row>
    <row r="167" spans="1:16">
      <c r="A167">
        <v>1121440</v>
      </c>
      <c r="B167" t="s">
        <v>162</v>
      </c>
      <c r="C167" t="s">
        <v>3</v>
      </c>
      <c r="D167" t="s">
        <v>1</v>
      </c>
      <c r="E167" s="14">
        <v>10</v>
      </c>
      <c r="F167" s="14">
        <v>250499</v>
      </c>
      <c r="G167" s="14">
        <v>36</v>
      </c>
      <c r="H167" s="13">
        <v>58.140000049999998</v>
      </c>
      <c r="I167" s="14">
        <v>12</v>
      </c>
      <c r="J167" s="11">
        <f>I167*85</f>
        <v>1020</v>
      </c>
      <c r="K167" s="11">
        <f>J167-H167</f>
        <v>961.85999994999997</v>
      </c>
      <c r="L167" s="10">
        <f>G167/F167</f>
        <v>1.4371314855548325E-4</v>
      </c>
      <c r="M167" s="14">
        <f>IFERROR(ROUND(I167/G167,2),0)</f>
        <v>0.33</v>
      </c>
      <c r="N167" s="11">
        <f>IFERROR(H167/G167,0)</f>
        <v>1.6150000013888888</v>
      </c>
      <c r="O167" s="11">
        <f>IFERROR(H167/I167,0)</f>
        <v>4.8450000041666668</v>
      </c>
      <c r="P167" s="11">
        <f>IFERROR((J167-H167)/H167,0)</f>
        <v>16.543859634035208</v>
      </c>
    </row>
    <row r="168" spans="1:16">
      <c r="A168">
        <v>1121466</v>
      </c>
      <c r="B168" t="s">
        <v>162</v>
      </c>
      <c r="C168" t="s">
        <v>3</v>
      </c>
      <c r="D168" t="s">
        <v>1</v>
      </c>
      <c r="E168" s="14">
        <v>19</v>
      </c>
      <c r="F168" s="14">
        <v>438983</v>
      </c>
      <c r="G168" s="14">
        <v>81</v>
      </c>
      <c r="H168" s="13">
        <v>143.4300001</v>
      </c>
      <c r="I168" s="14">
        <v>12</v>
      </c>
      <c r="J168" s="11">
        <f>I168*85</f>
        <v>1020</v>
      </c>
      <c r="K168" s="11">
        <f>J168-H168</f>
        <v>876.56999989999997</v>
      </c>
      <c r="L168" s="10">
        <f>G168/F168</f>
        <v>1.8451739589004585E-4</v>
      </c>
      <c r="M168" s="14">
        <f>IFERROR(ROUND(I168/G168,2),0)</f>
        <v>0.15</v>
      </c>
      <c r="N168" s="11">
        <f>IFERROR(H168/G168,0)</f>
        <v>1.7707407419753087</v>
      </c>
      <c r="O168" s="11">
        <f>IFERROR(H168/I168,0)</f>
        <v>11.952500008333333</v>
      </c>
      <c r="P168" s="11">
        <f>IFERROR((J168-H168)/H168,0)</f>
        <v>6.1114829483988817</v>
      </c>
    </row>
    <row r="169" spans="1:16">
      <c r="A169">
        <v>1121471</v>
      </c>
      <c r="B169" t="s">
        <v>162</v>
      </c>
      <c r="C169" t="s">
        <v>3</v>
      </c>
      <c r="D169" t="s">
        <v>1</v>
      </c>
      <c r="E169" s="14">
        <v>20</v>
      </c>
      <c r="F169" s="14">
        <v>304680</v>
      </c>
      <c r="G169" s="14">
        <v>59</v>
      </c>
      <c r="H169" s="13">
        <v>98.550000190000006</v>
      </c>
      <c r="I169" s="14">
        <v>12</v>
      </c>
      <c r="J169" s="11">
        <f>I169*85</f>
        <v>1020</v>
      </c>
      <c r="K169" s="11">
        <f>J169-H169</f>
        <v>921.44999981000001</v>
      </c>
      <c r="L169" s="10">
        <f>G169/F169</f>
        <v>1.9364579230668241E-4</v>
      </c>
      <c r="M169" s="14">
        <f>IFERROR(ROUND(I169/G169,2),0)</f>
        <v>0.2</v>
      </c>
      <c r="N169" s="11">
        <f>IFERROR(H169/G169,0)</f>
        <v>1.6703389862711866</v>
      </c>
      <c r="O169" s="11">
        <f>IFERROR(H169/I169,0)</f>
        <v>8.2125000158333332</v>
      </c>
      <c r="P169" s="11">
        <f>IFERROR((J169-H169)/H169,0)</f>
        <v>9.3500760835462753</v>
      </c>
    </row>
    <row r="170" spans="1:16">
      <c r="A170">
        <v>1121474</v>
      </c>
      <c r="B170" t="s">
        <v>162</v>
      </c>
      <c r="C170" t="s">
        <v>3</v>
      </c>
      <c r="D170" t="s">
        <v>1</v>
      </c>
      <c r="E170" s="14">
        <v>20</v>
      </c>
      <c r="F170" s="14">
        <v>75803</v>
      </c>
      <c r="G170" s="14">
        <v>11</v>
      </c>
      <c r="H170" s="13">
        <v>19.359999899999998</v>
      </c>
      <c r="I170" s="14">
        <v>12</v>
      </c>
      <c r="J170" s="11">
        <f>I170*85</f>
        <v>1020</v>
      </c>
      <c r="K170" s="11">
        <f>J170-H170</f>
        <v>1000.6400001</v>
      </c>
      <c r="L170" s="10">
        <f>G170/F170</f>
        <v>1.4511299025104547E-4</v>
      </c>
      <c r="M170" s="14">
        <f>IFERROR(ROUND(I170/G170,2),0)</f>
        <v>1.0900000000000001</v>
      </c>
      <c r="N170" s="11">
        <f>IFERROR(H170/G170,0)</f>
        <v>1.7599999909090907</v>
      </c>
      <c r="O170" s="11">
        <f>IFERROR(H170/I170,0)</f>
        <v>1.6133333249999999</v>
      </c>
      <c r="P170" s="11">
        <f>IFERROR((J170-H170)/H170,0)</f>
        <v>51.68595068536132</v>
      </c>
    </row>
    <row r="171" spans="1:16">
      <c r="A171">
        <v>1121511</v>
      </c>
      <c r="B171" t="s">
        <v>162</v>
      </c>
      <c r="C171" t="s">
        <v>3</v>
      </c>
      <c r="D171" t="s">
        <v>1</v>
      </c>
      <c r="E171" s="14">
        <v>27</v>
      </c>
      <c r="F171" s="14">
        <v>252991</v>
      </c>
      <c r="G171" s="14">
        <v>49</v>
      </c>
      <c r="H171" s="13">
        <v>76.839999320000004</v>
      </c>
      <c r="I171" s="14">
        <v>12</v>
      </c>
      <c r="J171" s="11">
        <f>I171*85</f>
        <v>1020</v>
      </c>
      <c r="K171" s="11">
        <f>J171-H171</f>
        <v>943.16000067999994</v>
      </c>
      <c r="L171" s="10">
        <f>G171/F171</f>
        <v>1.9368277922930064E-4</v>
      </c>
      <c r="M171" s="14">
        <f>IFERROR(ROUND(I171/G171,2),0)</f>
        <v>0.24</v>
      </c>
      <c r="N171" s="11">
        <f>IFERROR(H171/G171,0)</f>
        <v>1.5681632514285715</v>
      </c>
      <c r="O171" s="11">
        <f>IFERROR(H171/I171,0)</f>
        <v>6.4033332766666673</v>
      </c>
      <c r="P171" s="11">
        <f>IFERROR((J171-H171)/H171,0)</f>
        <v>12.274336400657843</v>
      </c>
    </row>
    <row r="172" spans="1:16">
      <c r="A172">
        <v>1121523</v>
      </c>
      <c r="B172" t="s">
        <v>162</v>
      </c>
      <c r="C172" t="s">
        <v>3</v>
      </c>
      <c r="D172" t="s">
        <v>1</v>
      </c>
      <c r="E172" s="14">
        <v>29</v>
      </c>
      <c r="F172" s="14">
        <v>76923</v>
      </c>
      <c r="G172" s="14">
        <v>11</v>
      </c>
      <c r="H172" s="13">
        <v>17.670000080000001</v>
      </c>
      <c r="I172" s="14">
        <v>12</v>
      </c>
      <c r="J172" s="11">
        <f>I172*85</f>
        <v>1020</v>
      </c>
      <c r="K172" s="11">
        <f>J172-H172</f>
        <v>1002.32999992</v>
      </c>
      <c r="L172" s="10">
        <f>G172/F172</f>
        <v>1.4300014300014301E-4</v>
      </c>
      <c r="M172" s="14">
        <f>IFERROR(ROUND(I172/G172,2),0)</f>
        <v>1.0900000000000001</v>
      </c>
      <c r="N172" s="11">
        <f>IFERROR(H172/G172,0)</f>
        <v>1.6063636436363637</v>
      </c>
      <c r="O172" s="11">
        <f>IFERROR(H172/I172,0)</f>
        <v>1.4725000066666667</v>
      </c>
      <c r="P172" s="11">
        <f>IFERROR((J172-H172)/H172,0)</f>
        <v>56.724957293831544</v>
      </c>
    </row>
    <row r="173" spans="1:16">
      <c r="A173">
        <v>1121524</v>
      </c>
      <c r="B173" t="s">
        <v>162</v>
      </c>
      <c r="C173" t="s">
        <v>3</v>
      </c>
      <c r="D173" t="s">
        <v>1</v>
      </c>
      <c r="E173" s="14">
        <v>29</v>
      </c>
      <c r="F173" s="14">
        <v>209332</v>
      </c>
      <c r="G173" s="14">
        <v>30</v>
      </c>
      <c r="H173" s="13">
        <v>49.600000139999999</v>
      </c>
      <c r="I173" s="14">
        <v>12</v>
      </c>
      <c r="J173" s="11">
        <f>I173*85</f>
        <v>1020</v>
      </c>
      <c r="K173" s="11">
        <f>J173-H173</f>
        <v>970.39999985999998</v>
      </c>
      <c r="L173" s="10">
        <f>G173/F173</f>
        <v>1.4331301473257793E-4</v>
      </c>
      <c r="M173" s="14">
        <f>IFERROR(ROUND(I173/G173,2),0)</f>
        <v>0.4</v>
      </c>
      <c r="N173" s="11">
        <f>IFERROR(H173/G173,0)</f>
        <v>1.6533333379999999</v>
      </c>
      <c r="O173" s="11">
        <f>IFERROR(H173/I173,0)</f>
        <v>4.1333333449999996</v>
      </c>
      <c r="P173" s="11">
        <f>IFERROR((J173-H173)/H173,0)</f>
        <v>19.564516070987253</v>
      </c>
    </row>
    <row r="174" spans="1:16">
      <c r="A174">
        <v>1121589</v>
      </c>
      <c r="B174" t="s">
        <v>162</v>
      </c>
      <c r="C174" t="s">
        <v>4</v>
      </c>
      <c r="D174" t="s">
        <v>1</v>
      </c>
      <c r="E174" s="14">
        <v>10</v>
      </c>
      <c r="F174" s="14">
        <v>464036</v>
      </c>
      <c r="G174" s="14">
        <v>77</v>
      </c>
      <c r="H174" s="13">
        <v>123.5500004</v>
      </c>
      <c r="I174" s="14">
        <v>12</v>
      </c>
      <c r="J174" s="11">
        <f>I174*85</f>
        <v>1020</v>
      </c>
      <c r="K174" s="11">
        <f>J174-H174</f>
        <v>896.44999959999996</v>
      </c>
      <c r="L174" s="10">
        <f>G174/F174</f>
        <v>1.6593540156367178E-4</v>
      </c>
      <c r="M174" s="14">
        <f>IFERROR(ROUND(I174/G174,2),0)</f>
        <v>0.16</v>
      </c>
      <c r="N174" s="11">
        <f>IFERROR(H174/G174,0)</f>
        <v>1.6045454597402597</v>
      </c>
      <c r="O174" s="11">
        <f>IFERROR(H174/I174,0)</f>
        <v>10.295833366666667</v>
      </c>
      <c r="P174" s="11">
        <f>IFERROR((J174-H174)/H174,0)</f>
        <v>7.2557668692650195</v>
      </c>
    </row>
    <row r="175" spans="1:16">
      <c r="A175">
        <v>1121603</v>
      </c>
      <c r="B175" t="s">
        <v>162</v>
      </c>
      <c r="C175" t="s">
        <v>4</v>
      </c>
      <c r="D175" t="s">
        <v>1</v>
      </c>
      <c r="E175" s="14">
        <v>16</v>
      </c>
      <c r="F175" s="14">
        <v>159478</v>
      </c>
      <c r="G175" s="14">
        <v>20</v>
      </c>
      <c r="H175" s="13">
        <v>33.899999979999997</v>
      </c>
      <c r="I175" s="14">
        <v>12</v>
      </c>
      <c r="J175" s="11">
        <f>I175*85</f>
        <v>1020</v>
      </c>
      <c r="K175" s="11">
        <f>J175-H175</f>
        <v>986.10000002000004</v>
      </c>
      <c r="L175" s="10">
        <f>G175/F175</f>
        <v>1.2540914734320721E-4</v>
      </c>
      <c r="M175" s="14">
        <f>IFERROR(ROUND(I175/G175,2),0)</f>
        <v>0.6</v>
      </c>
      <c r="N175" s="11">
        <f>IFERROR(H175/G175,0)</f>
        <v>1.6949999989999998</v>
      </c>
      <c r="O175" s="11">
        <f>IFERROR(H175/I175,0)</f>
        <v>2.8249999983333329</v>
      </c>
      <c r="P175" s="11">
        <f>IFERROR((J175-H175)/H175,0)</f>
        <v>29.088495592972567</v>
      </c>
    </row>
    <row r="176" spans="1:16">
      <c r="A176">
        <v>1121620</v>
      </c>
      <c r="B176" t="s">
        <v>162</v>
      </c>
      <c r="C176" t="s">
        <v>4</v>
      </c>
      <c r="D176" t="s">
        <v>1</v>
      </c>
      <c r="E176" s="14">
        <v>20</v>
      </c>
      <c r="F176" s="14">
        <v>415798</v>
      </c>
      <c r="G176" s="14">
        <v>80</v>
      </c>
      <c r="H176" s="13">
        <v>131.78000059999999</v>
      </c>
      <c r="I176" s="14">
        <v>12</v>
      </c>
      <c r="J176" s="11">
        <f>I176*85</f>
        <v>1020</v>
      </c>
      <c r="K176" s="11">
        <f>J176-H176</f>
        <v>888.21999940000001</v>
      </c>
      <c r="L176" s="10">
        <f>G176/F176</f>
        <v>1.9240111785049472E-4</v>
      </c>
      <c r="M176" s="14">
        <f>IFERROR(ROUND(I176/G176,2),0)</f>
        <v>0.15</v>
      </c>
      <c r="N176" s="11">
        <f>IFERROR(H176/G176,0)</f>
        <v>1.6472500074999998</v>
      </c>
      <c r="O176" s="11">
        <f>IFERROR(H176/I176,0)</f>
        <v>10.981666716666666</v>
      </c>
      <c r="P176" s="11">
        <f>IFERROR((J176-H176)/H176,0)</f>
        <v>6.7401729803907742</v>
      </c>
    </row>
    <row r="177" spans="1:16">
      <c r="A177">
        <v>1121675</v>
      </c>
      <c r="B177" t="s">
        <v>162</v>
      </c>
      <c r="C177" t="s">
        <v>4</v>
      </c>
      <c r="D177" t="s">
        <v>1</v>
      </c>
      <c r="E177" s="14">
        <v>29</v>
      </c>
      <c r="F177" s="14">
        <v>111963</v>
      </c>
      <c r="G177" s="14">
        <v>17</v>
      </c>
      <c r="H177" s="13">
        <v>29.379999399999999</v>
      </c>
      <c r="I177" s="14">
        <v>12</v>
      </c>
      <c r="J177" s="11">
        <f>I177*85</f>
        <v>1020</v>
      </c>
      <c r="K177" s="11">
        <f>J177-H177</f>
        <v>990.62000060000003</v>
      </c>
      <c r="L177" s="10">
        <f>G177/F177</f>
        <v>1.5183587435134823E-4</v>
      </c>
      <c r="M177" s="14">
        <f>IFERROR(ROUND(I177/G177,2),0)</f>
        <v>0.71</v>
      </c>
      <c r="N177" s="11">
        <f>IFERROR(H177/G177,0)</f>
        <v>1.7282352588235295</v>
      </c>
      <c r="O177" s="11">
        <f>IFERROR(H177/I177,0)</f>
        <v>2.4483332833333331</v>
      </c>
      <c r="P177" s="11">
        <f>IFERROR((J177-H177)/H177,0)</f>
        <v>33.717495603488679</v>
      </c>
    </row>
    <row r="178" spans="1:16">
      <c r="A178">
        <v>1121691</v>
      </c>
      <c r="B178" t="s">
        <v>162</v>
      </c>
      <c r="C178" t="s">
        <v>4</v>
      </c>
      <c r="D178" t="s">
        <v>1</v>
      </c>
      <c r="E178" s="14">
        <v>32</v>
      </c>
      <c r="F178" s="14">
        <v>932890</v>
      </c>
      <c r="G178" s="14">
        <v>197</v>
      </c>
      <c r="H178" s="13">
        <v>352.44999890000003</v>
      </c>
      <c r="I178" s="14">
        <v>12</v>
      </c>
      <c r="J178" s="11">
        <f>I178*85</f>
        <v>1020</v>
      </c>
      <c r="K178" s="11">
        <f>J178-H178</f>
        <v>667.55000109999992</v>
      </c>
      <c r="L178" s="10">
        <f>G178/F178</f>
        <v>2.1117173514562275E-4</v>
      </c>
      <c r="M178" s="14">
        <f>IFERROR(ROUND(I178/G178,2),0)</f>
        <v>0.06</v>
      </c>
      <c r="N178" s="11">
        <f>IFERROR(H178/G178,0)</f>
        <v>1.7890862888324874</v>
      </c>
      <c r="O178" s="11">
        <f>IFERROR(H178/I178,0)</f>
        <v>29.37083324166667</v>
      </c>
      <c r="P178" s="11">
        <f>IFERROR((J178-H178)/H178,0)</f>
        <v>1.894027530666563</v>
      </c>
    </row>
    <row r="179" spans="1:16">
      <c r="A179">
        <v>1121819</v>
      </c>
      <c r="B179" t="s">
        <v>162</v>
      </c>
      <c r="C179" t="s">
        <v>0</v>
      </c>
      <c r="D179" t="s">
        <v>5</v>
      </c>
      <c r="E179" s="14">
        <v>28</v>
      </c>
      <c r="F179" s="14">
        <v>1189509</v>
      </c>
      <c r="G179" s="14">
        <v>268</v>
      </c>
      <c r="H179" s="13">
        <v>375.71999629999999</v>
      </c>
      <c r="I179" s="14">
        <v>12</v>
      </c>
      <c r="J179" s="11">
        <f>I179*85</f>
        <v>1020</v>
      </c>
      <c r="K179" s="11">
        <f>J179-H179</f>
        <v>644.28000369999995</v>
      </c>
      <c r="L179" s="10">
        <f>G179/F179</f>
        <v>2.2530304520604721E-4</v>
      </c>
      <c r="M179" s="14">
        <f>IFERROR(ROUND(I179/G179,2),0)</f>
        <v>0.04</v>
      </c>
      <c r="N179" s="11">
        <f>IFERROR(H179/G179,0)</f>
        <v>1.4019402847014926</v>
      </c>
      <c r="O179" s="11">
        <f>IFERROR(H179/I179,0)</f>
        <v>31.309999691666665</v>
      </c>
      <c r="P179" s="11">
        <f>IFERROR((J179-H179)/H179,0)</f>
        <v>1.7147876345276116</v>
      </c>
    </row>
    <row r="180" spans="1:16">
      <c r="A180">
        <v>1314308</v>
      </c>
      <c r="B180" t="s">
        <v>162</v>
      </c>
      <c r="C180" t="s">
        <v>0</v>
      </c>
      <c r="D180" t="s">
        <v>1</v>
      </c>
      <c r="E180" s="14">
        <v>112</v>
      </c>
      <c r="F180" s="14">
        <v>51104</v>
      </c>
      <c r="G180" s="14">
        <v>2</v>
      </c>
      <c r="H180" s="13">
        <v>3.199999928</v>
      </c>
      <c r="I180" s="14">
        <v>12</v>
      </c>
      <c r="J180" s="11">
        <f>I180*85</f>
        <v>1020</v>
      </c>
      <c r="K180" s="11">
        <f>J180-H180</f>
        <v>1016.800000072</v>
      </c>
      <c r="L180" s="10">
        <f>G180/F180</f>
        <v>3.9135879774577331E-5</v>
      </c>
      <c r="M180" s="14">
        <f>IFERROR(ROUND(I180/G180,2),0)</f>
        <v>6</v>
      </c>
      <c r="N180" s="11">
        <f>IFERROR(H180/G180,0)</f>
        <v>1.599999964</v>
      </c>
      <c r="O180" s="11">
        <f>IFERROR(H180/I180,0)</f>
        <v>0.26666666066666667</v>
      </c>
      <c r="P180" s="11">
        <f>IFERROR((J180-H180)/H180,0)</f>
        <v>317.75000717187515</v>
      </c>
    </row>
    <row r="181" spans="1:16">
      <c r="A181">
        <v>1314323</v>
      </c>
      <c r="B181" t="s">
        <v>162</v>
      </c>
      <c r="C181" t="s">
        <v>2</v>
      </c>
      <c r="D181" t="s">
        <v>1</v>
      </c>
      <c r="E181" s="14">
        <v>112</v>
      </c>
      <c r="F181" s="14">
        <v>155426</v>
      </c>
      <c r="G181" s="14">
        <v>17</v>
      </c>
      <c r="H181" s="13">
        <v>25.010000229999999</v>
      </c>
      <c r="I181" s="14">
        <v>12</v>
      </c>
      <c r="J181" s="11">
        <f>I181*85</f>
        <v>1020</v>
      </c>
      <c r="K181" s="11">
        <f>J181-H181</f>
        <v>994.98999977000005</v>
      </c>
      <c r="L181" s="10">
        <f>G181/F181</f>
        <v>1.0937680954280493E-4</v>
      </c>
      <c r="M181" s="14">
        <f>IFERROR(ROUND(I181/G181,2),0)</f>
        <v>0.71</v>
      </c>
      <c r="N181" s="11">
        <f>IFERROR(H181/G181,0)</f>
        <v>1.4711764841176471</v>
      </c>
      <c r="O181" s="11">
        <f>IFERROR(H181/I181,0)</f>
        <v>2.0841666858333334</v>
      </c>
      <c r="P181" s="11">
        <f>IFERROR((J181-H181)/H181,0)</f>
        <v>39.783686150329956</v>
      </c>
    </row>
    <row r="182" spans="1:16">
      <c r="A182">
        <v>1314333</v>
      </c>
      <c r="B182" t="s">
        <v>162</v>
      </c>
      <c r="C182" t="s">
        <v>3</v>
      </c>
      <c r="D182" t="s">
        <v>1</v>
      </c>
      <c r="E182" s="14">
        <v>107</v>
      </c>
      <c r="F182" s="14">
        <v>348180</v>
      </c>
      <c r="G182" s="14">
        <v>41</v>
      </c>
      <c r="H182" s="13">
        <v>60.229999069999998</v>
      </c>
      <c r="I182" s="14">
        <v>12</v>
      </c>
      <c r="J182" s="11">
        <f>I182*85</f>
        <v>1020</v>
      </c>
      <c r="K182" s="11">
        <f>J182-H182</f>
        <v>959.77000093000004</v>
      </c>
      <c r="L182" s="10">
        <f>G182/F182</f>
        <v>1.1775518410017807E-4</v>
      </c>
      <c r="M182" s="14">
        <f>IFERROR(ROUND(I182/G182,2),0)</f>
        <v>0.28999999999999998</v>
      </c>
      <c r="N182" s="11">
        <f>IFERROR(H182/G182,0)</f>
        <v>1.4690243675609755</v>
      </c>
      <c r="O182" s="11">
        <f>IFERROR(H182/I182,0)</f>
        <v>5.0191665891666668</v>
      </c>
      <c r="P182" s="11">
        <f>IFERROR((J182-H182)/H182,0)</f>
        <v>15.935082446449057</v>
      </c>
    </row>
    <row r="183" spans="1:16">
      <c r="A183">
        <v>1314334</v>
      </c>
      <c r="B183" t="s">
        <v>162</v>
      </c>
      <c r="C183" t="s">
        <v>3</v>
      </c>
      <c r="D183" t="s">
        <v>1</v>
      </c>
      <c r="E183" s="14">
        <v>108</v>
      </c>
      <c r="F183" s="14">
        <v>146246</v>
      </c>
      <c r="G183" s="14">
        <v>18</v>
      </c>
      <c r="H183" s="13">
        <v>28.719999550000001</v>
      </c>
      <c r="I183" s="14">
        <v>12</v>
      </c>
      <c r="J183" s="11">
        <f>I183*85</f>
        <v>1020</v>
      </c>
      <c r="K183" s="11">
        <f>J183-H183</f>
        <v>991.28000044999999</v>
      </c>
      <c r="L183" s="10">
        <f>G183/F183</f>
        <v>1.2308028937543591E-4</v>
      </c>
      <c r="M183" s="14">
        <f>IFERROR(ROUND(I183/G183,2),0)</f>
        <v>0.67</v>
      </c>
      <c r="N183" s="11">
        <f>IFERROR(H183/G183,0)</f>
        <v>1.5955555305555555</v>
      </c>
      <c r="O183" s="11">
        <f>IFERROR(H183/I183,0)</f>
        <v>2.3933332958333335</v>
      </c>
      <c r="P183" s="11">
        <f>IFERROR((J183-H183)/H183,0)</f>
        <v>34.515320890734486</v>
      </c>
    </row>
    <row r="184" spans="1:16">
      <c r="A184">
        <v>1314336</v>
      </c>
      <c r="B184" t="s">
        <v>162</v>
      </c>
      <c r="C184" t="s">
        <v>3</v>
      </c>
      <c r="D184" t="s">
        <v>1</v>
      </c>
      <c r="E184" s="14">
        <v>110</v>
      </c>
      <c r="F184" s="14">
        <v>187236</v>
      </c>
      <c r="G184" s="14">
        <v>24</v>
      </c>
      <c r="H184" s="13">
        <v>34.869999649999997</v>
      </c>
      <c r="I184" s="14">
        <v>12</v>
      </c>
      <c r="J184" s="11">
        <f>I184*85</f>
        <v>1020</v>
      </c>
      <c r="K184" s="11">
        <f>J184-H184</f>
        <v>985.13000035000005</v>
      </c>
      <c r="L184" s="10">
        <f>G184/F184</f>
        <v>1.2818047811318336E-4</v>
      </c>
      <c r="M184" s="14">
        <f>IFERROR(ROUND(I184/G184,2),0)</f>
        <v>0.5</v>
      </c>
      <c r="N184" s="11">
        <f>IFERROR(H184/G184,0)</f>
        <v>1.4529166520833332</v>
      </c>
      <c r="O184" s="11">
        <f>IFERROR(H184/I184,0)</f>
        <v>2.9058333041666664</v>
      </c>
      <c r="P184" s="11">
        <f>IFERROR((J184-H184)/H184,0)</f>
        <v>28.251505885805198</v>
      </c>
    </row>
    <row r="185" spans="1:16">
      <c r="A185">
        <v>1314343</v>
      </c>
      <c r="B185" t="s">
        <v>162</v>
      </c>
      <c r="C185" t="s">
        <v>4</v>
      </c>
      <c r="D185" t="s">
        <v>1</v>
      </c>
      <c r="E185" s="14">
        <v>102</v>
      </c>
      <c r="F185" s="14">
        <v>134245</v>
      </c>
      <c r="G185" s="14">
        <v>18</v>
      </c>
      <c r="H185" s="13">
        <v>25.750000239999999</v>
      </c>
      <c r="I185" s="14">
        <v>12</v>
      </c>
      <c r="J185" s="11">
        <f>I185*85</f>
        <v>1020</v>
      </c>
      <c r="K185" s="11">
        <f>J185-H185</f>
        <v>994.24999976000004</v>
      </c>
      <c r="L185" s="10">
        <f>G185/F185</f>
        <v>1.3408320607843867E-4</v>
      </c>
      <c r="M185" s="14">
        <f>IFERROR(ROUND(I185/G185,2),0)</f>
        <v>0.67</v>
      </c>
      <c r="N185" s="11">
        <f>IFERROR(H185/G185,0)</f>
        <v>1.4305555688888889</v>
      </c>
      <c r="O185" s="11">
        <f>IFERROR(H185/I185,0)</f>
        <v>2.1458333533333334</v>
      </c>
      <c r="P185" s="11">
        <f>IFERROR((J185-H185)/H185,0)</f>
        <v>38.611650116240938</v>
      </c>
    </row>
    <row r="186" spans="1:16">
      <c r="A186">
        <v>1314345</v>
      </c>
      <c r="B186" t="s">
        <v>162</v>
      </c>
      <c r="C186" t="s">
        <v>4</v>
      </c>
      <c r="D186" t="s">
        <v>1</v>
      </c>
      <c r="E186" s="14">
        <v>104</v>
      </c>
      <c r="F186" s="14">
        <v>125650</v>
      </c>
      <c r="G186" s="14">
        <v>20</v>
      </c>
      <c r="H186" s="13">
        <v>30.080000760000001</v>
      </c>
      <c r="I186" s="14">
        <v>12</v>
      </c>
      <c r="J186" s="11">
        <f>I186*85</f>
        <v>1020</v>
      </c>
      <c r="K186" s="11">
        <f>J186-H186</f>
        <v>989.91999924000004</v>
      </c>
      <c r="L186" s="10">
        <f>G186/F186</f>
        <v>1.5917230401910068E-4</v>
      </c>
      <c r="M186" s="14">
        <f>IFERROR(ROUND(I186/G186,2),0)</f>
        <v>0.6</v>
      </c>
      <c r="N186" s="11">
        <f>IFERROR(H186/G186,0)</f>
        <v>1.504000038</v>
      </c>
      <c r="O186" s="11">
        <f>IFERROR(H186/I186,0)</f>
        <v>2.5066667300000001</v>
      </c>
      <c r="P186" s="11">
        <f>IFERROR((J186-H186)/H186,0)</f>
        <v>32.909573611327261</v>
      </c>
    </row>
    <row r="187" spans="1:16">
      <c r="A187">
        <v>1314354</v>
      </c>
      <c r="B187" t="s">
        <v>162</v>
      </c>
      <c r="C187" t="s">
        <v>4</v>
      </c>
      <c r="D187" t="s">
        <v>1</v>
      </c>
      <c r="E187" s="14">
        <v>113</v>
      </c>
      <c r="F187" s="14">
        <v>138525</v>
      </c>
      <c r="G187" s="14">
        <v>9</v>
      </c>
      <c r="H187" s="13">
        <v>13.65000045</v>
      </c>
      <c r="I187" s="14">
        <v>12</v>
      </c>
      <c r="J187" s="11">
        <f>I187*85</f>
        <v>1020</v>
      </c>
      <c r="K187" s="11">
        <f>J187-H187</f>
        <v>1006.34999955</v>
      </c>
      <c r="L187" s="10">
        <f>G187/F187</f>
        <v>6.4970221981591769E-5</v>
      </c>
      <c r="M187" s="14">
        <f>IFERROR(ROUND(I187/G187,2),0)</f>
        <v>1.33</v>
      </c>
      <c r="N187" s="11">
        <f>IFERROR(H187/G187,0)</f>
        <v>1.5166667166666667</v>
      </c>
      <c r="O187" s="11">
        <f>IFERROR(H187/I187,0)</f>
        <v>1.1375000374999999</v>
      </c>
      <c r="P187" s="11">
        <f>IFERROR((J187-H187)/H187,0)</f>
        <v>73.725272261804207</v>
      </c>
    </row>
    <row r="188" spans="1:16">
      <c r="A188">
        <v>1314365</v>
      </c>
      <c r="B188" t="s">
        <v>162</v>
      </c>
      <c r="C188" t="s">
        <v>0</v>
      </c>
      <c r="D188" t="s">
        <v>5</v>
      </c>
      <c r="E188" s="14">
        <v>109</v>
      </c>
      <c r="F188" s="14">
        <v>623137</v>
      </c>
      <c r="G188" s="14">
        <v>100</v>
      </c>
      <c r="H188" s="13">
        <v>138.92000060000001</v>
      </c>
      <c r="I188" s="14">
        <v>12</v>
      </c>
      <c r="J188" s="11">
        <f>I188*85</f>
        <v>1020</v>
      </c>
      <c r="K188" s="11">
        <f>J188-H188</f>
        <v>881.07999940000002</v>
      </c>
      <c r="L188" s="10">
        <f>G188/F188</f>
        <v>1.6047835387723728E-4</v>
      </c>
      <c r="M188" s="14">
        <f>IFERROR(ROUND(I188/G188,2),0)</f>
        <v>0.12</v>
      </c>
      <c r="N188" s="11">
        <f>IFERROR(H188/G188,0)</f>
        <v>1.389200006</v>
      </c>
      <c r="O188" s="11">
        <f>IFERROR(H188/I188,0)</f>
        <v>11.576666716666667</v>
      </c>
      <c r="P188" s="11">
        <f>IFERROR((J188-H188)/H188,0)</f>
        <v>6.3423552806981487</v>
      </c>
    </row>
    <row r="189" spans="1:16">
      <c r="A189">
        <v>1121101</v>
      </c>
      <c r="B189" t="s">
        <v>162</v>
      </c>
      <c r="C189" t="s">
        <v>0</v>
      </c>
      <c r="D189" t="s">
        <v>1</v>
      </c>
      <c r="E189" s="14">
        <v>15</v>
      </c>
      <c r="F189" s="14">
        <v>29945</v>
      </c>
      <c r="G189" s="14">
        <v>1</v>
      </c>
      <c r="H189" s="13">
        <v>1.5900000329999999</v>
      </c>
      <c r="I189" s="14">
        <v>11</v>
      </c>
      <c r="J189" s="11">
        <f>I189*85</f>
        <v>935</v>
      </c>
      <c r="K189" s="11">
        <f>J189-H189</f>
        <v>933.40999996699998</v>
      </c>
      <c r="L189" s="10">
        <f>G189/F189</f>
        <v>3.3394556687259975E-5</v>
      </c>
      <c r="M189" s="14">
        <f>IFERROR(ROUND(I189/G189,2),0)</f>
        <v>11</v>
      </c>
      <c r="N189" s="11">
        <f>IFERROR(H189/G189,0)</f>
        <v>1.5900000329999999</v>
      </c>
      <c r="O189" s="11">
        <f>IFERROR(H189/I189,0)</f>
        <v>0.14454545754545453</v>
      </c>
      <c r="P189" s="11">
        <f>IFERROR((J189-H189)/H189,0)</f>
        <v>587.05030226059125</v>
      </c>
    </row>
    <row r="190" spans="1:16">
      <c r="A190">
        <v>1121115</v>
      </c>
      <c r="B190" t="s">
        <v>162</v>
      </c>
      <c r="C190" t="s">
        <v>0</v>
      </c>
      <c r="D190" t="s">
        <v>1</v>
      </c>
      <c r="E190" s="14">
        <v>19</v>
      </c>
      <c r="F190" s="14">
        <v>410310</v>
      </c>
      <c r="G190" s="14">
        <v>55</v>
      </c>
      <c r="H190" s="13">
        <v>96.800000549999993</v>
      </c>
      <c r="I190" s="14">
        <v>11</v>
      </c>
      <c r="J190" s="11">
        <f>I190*85</f>
        <v>935</v>
      </c>
      <c r="K190" s="11">
        <f>J190-H190</f>
        <v>838.19999944999995</v>
      </c>
      <c r="L190" s="10">
        <f>G190/F190</f>
        <v>1.3404499037313251E-4</v>
      </c>
      <c r="M190" s="14">
        <f>IFERROR(ROUND(I190/G190,2),0)</f>
        <v>0.2</v>
      </c>
      <c r="N190" s="11">
        <f>IFERROR(H190/G190,0)</f>
        <v>1.7600000099999999</v>
      </c>
      <c r="O190" s="11">
        <f>IFERROR(H190/I190,0)</f>
        <v>8.8000000499999995</v>
      </c>
      <c r="P190" s="11">
        <f>IFERROR((J190-H190)/H190,0)</f>
        <v>8.6590908542097118</v>
      </c>
    </row>
    <row r="191" spans="1:16">
      <c r="A191">
        <v>1121122</v>
      </c>
      <c r="B191" t="s">
        <v>162</v>
      </c>
      <c r="C191" t="s">
        <v>0</v>
      </c>
      <c r="D191" t="s">
        <v>1</v>
      </c>
      <c r="E191" s="14">
        <v>20</v>
      </c>
      <c r="F191" s="14">
        <v>399199</v>
      </c>
      <c r="G191" s="14">
        <v>58</v>
      </c>
      <c r="H191" s="13">
        <v>103.15000019999999</v>
      </c>
      <c r="I191" s="14">
        <v>11</v>
      </c>
      <c r="J191" s="11">
        <f>I191*85</f>
        <v>935</v>
      </c>
      <c r="K191" s="11">
        <f>J191-H191</f>
        <v>831.84999979999998</v>
      </c>
      <c r="L191" s="10">
        <f>G191/F191</f>
        <v>1.4529094511759799E-4</v>
      </c>
      <c r="M191" s="14">
        <f>IFERROR(ROUND(I191/G191,2),0)</f>
        <v>0.19</v>
      </c>
      <c r="N191" s="11">
        <f>IFERROR(H191/G191,0)</f>
        <v>1.7784482793103447</v>
      </c>
      <c r="O191" s="11">
        <f>IFERROR(H191/I191,0)</f>
        <v>9.3772727454545457</v>
      </c>
      <c r="P191" s="11">
        <f>IFERROR((J191-H191)/H191,0)</f>
        <v>8.0644692020078157</v>
      </c>
    </row>
    <row r="192" spans="1:16">
      <c r="A192">
        <v>1121124</v>
      </c>
      <c r="B192" t="s">
        <v>162</v>
      </c>
      <c r="C192" t="s">
        <v>0</v>
      </c>
      <c r="D192" t="s">
        <v>1</v>
      </c>
      <c r="E192" s="14">
        <v>20</v>
      </c>
      <c r="F192" s="14">
        <v>128386</v>
      </c>
      <c r="G192" s="14">
        <v>15</v>
      </c>
      <c r="H192" s="13">
        <v>28.85000002</v>
      </c>
      <c r="I192" s="14">
        <v>11</v>
      </c>
      <c r="J192" s="11">
        <f>I192*85</f>
        <v>935</v>
      </c>
      <c r="K192" s="11">
        <f>J192-H192</f>
        <v>906.14999997999996</v>
      </c>
      <c r="L192" s="10">
        <f>G192/F192</f>
        <v>1.1683516894365429E-4</v>
      </c>
      <c r="M192" s="14">
        <f>IFERROR(ROUND(I192/G192,2),0)</f>
        <v>0.73</v>
      </c>
      <c r="N192" s="11">
        <f>IFERROR(H192/G192,0)</f>
        <v>1.9233333346666666</v>
      </c>
      <c r="O192" s="11">
        <f>IFERROR(H192/I192,0)</f>
        <v>2.6227272745454546</v>
      </c>
      <c r="P192" s="11">
        <f>IFERROR((J192-H192)/H192,0)</f>
        <v>31.409012109248518</v>
      </c>
    </row>
    <row r="193" spans="1:16">
      <c r="A193">
        <v>1121129</v>
      </c>
      <c r="B193" t="s">
        <v>162</v>
      </c>
      <c r="C193" t="s">
        <v>0</v>
      </c>
      <c r="D193" t="s">
        <v>1</v>
      </c>
      <c r="E193" s="14">
        <v>21</v>
      </c>
      <c r="F193" s="14">
        <v>20618</v>
      </c>
      <c r="G193" s="14">
        <v>1</v>
      </c>
      <c r="H193" s="13">
        <v>2.0999999049999998</v>
      </c>
      <c r="I193" s="14">
        <v>11</v>
      </c>
      <c r="J193" s="11">
        <f>I193*85</f>
        <v>935</v>
      </c>
      <c r="K193" s="11">
        <f>J193-H193</f>
        <v>932.900000095</v>
      </c>
      <c r="L193" s="10">
        <f>G193/F193</f>
        <v>4.8501309535357458E-5</v>
      </c>
      <c r="M193" s="14">
        <f>IFERROR(ROUND(I193/G193,2),0)</f>
        <v>11</v>
      </c>
      <c r="N193" s="11">
        <f>IFERROR(H193/G193,0)</f>
        <v>2.0999999049999998</v>
      </c>
      <c r="O193" s="11">
        <f>IFERROR(H193/I193,0)</f>
        <v>0.19090908227272727</v>
      </c>
      <c r="P193" s="11">
        <f>IFERROR((J193-H193)/H193,0)</f>
        <v>444.23811537981953</v>
      </c>
    </row>
    <row r="194" spans="1:16">
      <c r="A194">
        <v>1121173</v>
      </c>
      <c r="B194" t="s">
        <v>162</v>
      </c>
      <c r="C194" t="s">
        <v>0</v>
      </c>
      <c r="D194" t="s">
        <v>1</v>
      </c>
      <c r="E194" s="14">
        <v>26</v>
      </c>
      <c r="F194" s="14">
        <v>278225</v>
      </c>
      <c r="G194" s="14">
        <v>33</v>
      </c>
      <c r="H194" s="13">
        <v>60.199999570000003</v>
      </c>
      <c r="I194" s="14">
        <v>11</v>
      </c>
      <c r="J194" s="11">
        <f>I194*85</f>
        <v>935</v>
      </c>
      <c r="K194" s="11">
        <f>J194-H194</f>
        <v>874.80000042999995</v>
      </c>
      <c r="L194" s="10">
        <f>G194/F194</f>
        <v>1.1860903944649115E-4</v>
      </c>
      <c r="M194" s="14">
        <f>IFERROR(ROUND(I194/G194,2),0)</f>
        <v>0.33</v>
      </c>
      <c r="N194" s="11">
        <f>IFERROR(H194/G194,0)</f>
        <v>1.8242424112121214</v>
      </c>
      <c r="O194" s="11">
        <f>IFERROR(H194/I194,0)</f>
        <v>5.4727272336363635</v>
      </c>
      <c r="P194" s="11">
        <f>IFERROR((J194-H194)/H194,0)</f>
        <v>14.531561572733745</v>
      </c>
    </row>
    <row r="195" spans="1:16">
      <c r="A195">
        <v>1121181</v>
      </c>
      <c r="B195" t="s">
        <v>162</v>
      </c>
      <c r="C195" t="s">
        <v>0</v>
      </c>
      <c r="D195" t="s">
        <v>1</v>
      </c>
      <c r="E195" s="14">
        <v>27</v>
      </c>
      <c r="F195" s="14">
        <v>41030</v>
      </c>
      <c r="G195" s="14">
        <v>3</v>
      </c>
      <c r="H195" s="13">
        <v>5.1400001050000004</v>
      </c>
      <c r="I195" s="14">
        <v>11</v>
      </c>
      <c r="J195" s="11">
        <f>I195*85</f>
        <v>935</v>
      </c>
      <c r="K195" s="11">
        <f>J195-H195</f>
        <v>929.85999989499999</v>
      </c>
      <c r="L195" s="10">
        <f>G195/F195</f>
        <v>7.3117231294175E-5</v>
      </c>
      <c r="M195" s="14">
        <f>IFERROR(ROUND(I195/G195,2),0)</f>
        <v>3.67</v>
      </c>
      <c r="N195" s="11">
        <f>IFERROR(H195/G195,0)</f>
        <v>1.7133333683333334</v>
      </c>
      <c r="O195" s="11">
        <f>IFERROR(H195/I195,0)</f>
        <v>0.46727273681818188</v>
      </c>
      <c r="P195" s="11">
        <f>IFERROR((J195-H195)/H195,0)</f>
        <v>180.90661107000113</v>
      </c>
    </row>
    <row r="196" spans="1:16">
      <c r="A196">
        <v>1121213</v>
      </c>
      <c r="B196" t="s">
        <v>162</v>
      </c>
      <c r="C196" t="s">
        <v>0</v>
      </c>
      <c r="D196" t="s">
        <v>1</v>
      </c>
      <c r="E196" s="14">
        <v>30</v>
      </c>
      <c r="F196" s="14">
        <v>283170</v>
      </c>
      <c r="G196" s="14">
        <v>39</v>
      </c>
      <c r="H196" s="13">
        <v>65.229999960000001</v>
      </c>
      <c r="I196" s="14">
        <v>11</v>
      </c>
      <c r="J196" s="11">
        <f>I196*85</f>
        <v>935</v>
      </c>
      <c r="K196" s="11">
        <f>J196-H196</f>
        <v>869.77000004000001</v>
      </c>
      <c r="L196" s="10">
        <f>G196/F196</f>
        <v>1.3772645407352473E-4</v>
      </c>
      <c r="M196" s="14">
        <f>IFERROR(ROUND(I196/G196,2),0)</f>
        <v>0.28000000000000003</v>
      </c>
      <c r="N196" s="11">
        <f>IFERROR(H196/G196,0)</f>
        <v>1.6725641015384616</v>
      </c>
      <c r="O196" s="11">
        <f>IFERROR(H196/I196,0)</f>
        <v>5.9299999963636365</v>
      </c>
      <c r="P196" s="11">
        <f>IFERROR((J196-H196)/H196,0)</f>
        <v>13.333895455670026</v>
      </c>
    </row>
    <row r="197" spans="1:16">
      <c r="A197">
        <v>1121244</v>
      </c>
      <c r="B197" t="s">
        <v>162</v>
      </c>
      <c r="C197" t="s">
        <v>0</v>
      </c>
      <c r="D197" t="s">
        <v>1</v>
      </c>
      <c r="E197" s="14">
        <v>36</v>
      </c>
      <c r="F197" s="14">
        <v>181683</v>
      </c>
      <c r="G197" s="14">
        <v>20</v>
      </c>
      <c r="H197" s="13">
        <v>34.229999720000002</v>
      </c>
      <c r="I197" s="14">
        <v>11</v>
      </c>
      <c r="J197" s="11">
        <f>I197*85</f>
        <v>935</v>
      </c>
      <c r="K197" s="11">
        <f>J197-H197</f>
        <v>900.77000027999998</v>
      </c>
      <c r="L197" s="10">
        <f>G197/F197</f>
        <v>1.1008184585239125E-4</v>
      </c>
      <c r="M197" s="14">
        <f>IFERROR(ROUND(I197/G197,2),0)</f>
        <v>0.55000000000000004</v>
      </c>
      <c r="N197" s="11">
        <f>IFERROR(H197/G197,0)</f>
        <v>1.7114999860000002</v>
      </c>
      <c r="O197" s="11">
        <f>IFERROR(H197/I197,0)</f>
        <v>3.1118181563636367</v>
      </c>
      <c r="P197" s="11">
        <f>IFERROR((J197-H197)/H197,0)</f>
        <v>26.315220790191695</v>
      </c>
    </row>
    <row r="198" spans="1:16">
      <c r="A198">
        <v>1121275</v>
      </c>
      <c r="B198" t="s">
        <v>162</v>
      </c>
      <c r="C198" t="s">
        <v>0</v>
      </c>
      <c r="D198" t="s">
        <v>1</v>
      </c>
      <c r="E198" s="14">
        <v>2</v>
      </c>
      <c r="F198" s="14">
        <v>118522</v>
      </c>
      <c r="G198" s="14">
        <v>14</v>
      </c>
      <c r="H198" s="13">
        <v>26.819999809999999</v>
      </c>
      <c r="I198" s="14">
        <v>11</v>
      </c>
      <c r="J198" s="11">
        <f>I198*85</f>
        <v>935</v>
      </c>
      <c r="K198" s="11">
        <f>J198-H198</f>
        <v>908.18000018999999</v>
      </c>
      <c r="L198" s="10">
        <f>G198/F198</f>
        <v>1.1812153018005096E-4</v>
      </c>
      <c r="M198" s="14">
        <f>IFERROR(ROUND(I198/G198,2),0)</f>
        <v>0.79</v>
      </c>
      <c r="N198" s="11">
        <f>IFERROR(H198/G198,0)</f>
        <v>1.9157142721428571</v>
      </c>
      <c r="O198" s="11">
        <f>IFERROR(H198/I198,0)</f>
        <v>2.4381818009090908</v>
      </c>
      <c r="P198" s="11">
        <f>IFERROR((J198-H198)/H198,0)</f>
        <v>33.862043498276968</v>
      </c>
    </row>
    <row r="199" spans="1:16">
      <c r="A199">
        <v>1121277</v>
      </c>
      <c r="B199" t="s">
        <v>162</v>
      </c>
      <c r="C199" t="s">
        <v>0</v>
      </c>
      <c r="D199" t="s">
        <v>1</v>
      </c>
      <c r="E199" s="14">
        <v>7</v>
      </c>
      <c r="F199" s="14">
        <v>169108</v>
      </c>
      <c r="G199" s="14">
        <v>20</v>
      </c>
      <c r="H199" s="13">
        <v>32.240000250000001</v>
      </c>
      <c r="I199" s="14">
        <v>11</v>
      </c>
      <c r="J199" s="11">
        <f>I199*85</f>
        <v>935</v>
      </c>
      <c r="K199" s="11">
        <f>J199-H199</f>
        <v>902.75999975000002</v>
      </c>
      <c r="L199" s="10">
        <f>G199/F199</f>
        <v>1.1826761596139745E-4</v>
      </c>
      <c r="M199" s="14">
        <f>IFERROR(ROUND(I199/G199,2),0)</f>
        <v>0.55000000000000004</v>
      </c>
      <c r="N199" s="11">
        <f>IFERROR(H199/G199,0)</f>
        <v>1.6120000125</v>
      </c>
      <c r="O199" s="11">
        <f>IFERROR(H199/I199,0)</f>
        <v>2.9309091136363636</v>
      </c>
      <c r="P199" s="11">
        <f>IFERROR((J199-H199)/H199,0)</f>
        <v>28.001240469903532</v>
      </c>
    </row>
    <row r="200" spans="1:16">
      <c r="A200">
        <v>1121296</v>
      </c>
      <c r="B200" t="s">
        <v>162</v>
      </c>
      <c r="C200" t="s">
        <v>2</v>
      </c>
      <c r="D200" t="s">
        <v>1</v>
      </c>
      <c r="E200" s="14">
        <v>15</v>
      </c>
      <c r="F200" s="14">
        <v>180351</v>
      </c>
      <c r="G200" s="14">
        <v>21</v>
      </c>
      <c r="H200" s="13">
        <v>37.130000109999997</v>
      </c>
      <c r="I200" s="14">
        <v>11</v>
      </c>
      <c r="J200" s="11">
        <f>I200*85</f>
        <v>935</v>
      </c>
      <c r="K200" s="11">
        <f>J200-H200</f>
        <v>897.86999989000003</v>
      </c>
      <c r="L200" s="10">
        <f>G200/F200</f>
        <v>1.1643960942828152E-4</v>
      </c>
      <c r="M200" s="14">
        <f>IFERROR(ROUND(I200/G200,2),0)</f>
        <v>0.52</v>
      </c>
      <c r="N200" s="11">
        <f>IFERROR(H200/G200,0)</f>
        <v>1.7680952433333332</v>
      </c>
      <c r="O200" s="11">
        <f>IFERROR(H200/I200,0)</f>
        <v>3.3754545554545454</v>
      </c>
      <c r="P200" s="11">
        <f>IFERROR((J200-H200)/H200,0)</f>
        <v>24.181793623215803</v>
      </c>
    </row>
    <row r="201" spans="1:16">
      <c r="A201">
        <v>1121297</v>
      </c>
      <c r="B201" t="s">
        <v>162</v>
      </c>
      <c r="C201" t="s">
        <v>2</v>
      </c>
      <c r="D201" t="s">
        <v>1</v>
      </c>
      <c r="E201" s="14">
        <v>15</v>
      </c>
      <c r="F201" s="14">
        <v>187329</v>
      </c>
      <c r="G201" s="14">
        <v>29</v>
      </c>
      <c r="H201" s="13">
        <v>53.15999961</v>
      </c>
      <c r="I201" s="14">
        <v>11</v>
      </c>
      <c r="J201" s="11">
        <f>I201*85</f>
        <v>935</v>
      </c>
      <c r="K201" s="11">
        <f>J201-H201</f>
        <v>881.84000039</v>
      </c>
      <c r="L201" s="10">
        <f>G201/F201</f>
        <v>1.5480785142716824E-4</v>
      </c>
      <c r="M201" s="14">
        <f>IFERROR(ROUND(I201/G201,2),0)</f>
        <v>0.38</v>
      </c>
      <c r="N201" s="11">
        <f>IFERROR(H201/G201,0)</f>
        <v>1.8331034348275863</v>
      </c>
      <c r="O201" s="11">
        <f>IFERROR(H201/I201,0)</f>
        <v>4.832727237272727</v>
      </c>
      <c r="P201" s="11">
        <f>IFERROR((J201-H201)/H201,0)</f>
        <v>16.588412469139971</v>
      </c>
    </row>
    <row r="202" spans="1:16">
      <c r="A202">
        <v>1121335</v>
      </c>
      <c r="B202" t="s">
        <v>162</v>
      </c>
      <c r="C202" t="s">
        <v>2</v>
      </c>
      <c r="D202" t="s">
        <v>1</v>
      </c>
      <c r="E202" s="14">
        <v>22</v>
      </c>
      <c r="F202" s="14">
        <v>188596</v>
      </c>
      <c r="G202" s="14">
        <v>27</v>
      </c>
      <c r="H202" s="13">
        <v>44.14000034</v>
      </c>
      <c r="I202" s="14">
        <v>11</v>
      </c>
      <c r="J202" s="11">
        <f>I202*85</f>
        <v>935</v>
      </c>
      <c r="K202" s="11">
        <f>J202-H202</f>
        <v>890.85999965999997</v>
      </c>
      <c r="L202" s="10">
        <f>G202/F202</f>
        <v>1.4316316358777492E-4</v>
      </c>
      <c r="M202" s="14">
        <f>IFERROR(ROUND(I202/G202,2),0)</f>
        <v>0.41</v>
      </c>
      <c r="N202" s="11">
        <f>IFERROR(H202/G202,0)</f>
        <v>1.6348148274074075</v>
      </c>
      <c r="O202" s="11">
        <f>IFERROR(H202/I202,0)</f>
        <v>4.012727303636364</v>
      </c>
      <c r="P202" s="11">
        <f>IFERROR((J202-H202)/H202,0)</f>
        <v>20.182600652422195</v>
      </c>
    </row>
    <row r="203" spans="1:16">
      <c r="A203">
        <v>1121350</v>
      </c>
      <c r="B203" t="s">
        <v>162</v>
      </c>
      <c r="C203" t="s">
        <v>2</v>
      </c>
      <c r="D203" t="s">
        <v>1</v>
      </c>
      <c r="E203" s="14">
        <v>25</v>
      </c>
      <c r="F203" s="14">
        <v>75804</v>
      </c>
      <c r="G203" s="14">
        <v>10</v>
      </c>
      <c r="H203" s="13">
        <v>17.36999965</v>
      </c>
      <c r="I203" s="14">
        <v>11</v>
      </c>
      <c r="J203" s="11">
        <f>I203*85</f>
        <v>935</v>
      </c>
      <c r="K203" s="11">
        <f>J203-H203</f>
        <v>917.63000035000005</v>
      </c>
      <c r="L203" s="10">
        <f>G203/F203</f>
        <v>1.3191915993878952E-4</v>
      </c>
      <c r="M203" s="14">
        <f>IFERROR(ROUND(I203/G203,2),0)</f>
        <v>1.1000000000000001</v>
      </c>
      <c r="N203" s="11">
        <f>IFERROR(H203/G203,0)</f>
        <v>1.7369999650000001</v>
      </c>
      <c r="O203" s="11">
        <f>IFERROR(H203/I203,0)</f>
        <v>1.5790908772727272</v>
      </c>
      <c r="P203" s="11">
        <f>IFERROR((J203-H203)/H203,0)</f>
        <v>52.828440923428573</v>
      </c>
    </row>
    <row r="204" spans="1:16">
      <c r="A204">
        <v>1121364</v>
      </c>
      <c r="B204" t="s">
        <v>162</v>
      </c>
      <c r="C204" t="s">
        <v>2</v>
      </c>
      <c r="D204" t="s">
        <v>1</v>
      </c>
      <c r="E204" s="14">
        <v>27</v>
      </c>
      <c r="F204" s="14">
        <v>274222</v>
      </c>
      <c r="G204" s="14">
        <v>43</v>
      </c>
      <c r="H204" s="13">
        <v>66.770000100000004</v>
      </c>
      <c r="I204" s="14">
        <v>11</v>
      </c>
      <c r="J204" s="11">
        <f>I204*85</f>
        <v>935</v>
      </c>
      <c r="K204" s="11">
        <f>J204-H204</f>
        <v>868.22999989999994</v>
      </c>
      <c r="L204" s="10">
        <f>G204/F204</f>
        <v>1.568072583527215E-4</v>
      </c>
      <c r="M204" s="14">
        <f>IFERROR(ROUND(I204/G204,2),0)</f>
        <v>0.26</v>
      </c>
      <c r="N204" s="11">
        <f>IFERROR(H204/G204,0)</f>
        <v>1.5527907000000001</v>
      </c>
      <c r="O204" s="11">
        <f>IFERROR(H204/I204,0)</f>
        <v>6.0700000090909096</v>
      </c>
      <c r="P204" s="11">
        <f>IFERROR((J204-H204)/H204,0)</f>
        <v>13.003294871943543</v>
      </c>
    </row>
    <row r="205" spans="1:16">
      <c r="A205">
        <v>1121365</v>
      </c>
      <c r="B205" t="s">
        <v>162</v>
      </c>
      <c r="C205" t="s">
        <v>2</v>
      </c>
      <c r="D205" t="s">
        <v>1</v>
      </c>
      <c r="E205" s="14">
        <v>27</v>
      </c>
      <c r="F205" s="14">
        <v>110503</v>
      </c>
      <c r="G205" s="14">
        <v>25</v>
      </c>
      <c r="H205" s="13">
        <v>32.679999950000003</v>
      </c>
      <c r="I205" s="14">
        <v>11</v>
      </c>
      <c r="J205" s="11">
        <f>I205*85</f>
        <v>935</v>
      </c>
      <c r="K205" s="11">
        <f>J205-H205</f>
        <v>902.32000004999998</v>
      </c>
      <c r="L205" s="10">
        <f>G205/F205</f>
        <v>2.2623820167778249E-4</v>
      </c>
      <c r="M205" s="14">
        <f>IFERROR(ROUND(I205/G205,2),0)</f>
        <v>0.44</v>
      </c>
      <c r="N205" s="11">
        <f>IFERROR(H205/G205,0)</f>
        <v>1.3071999980000002</v>
      </c>
      <c r="O205" s="11">
        <f>IFERROR(H205/I205,0)</f>
        <v>2.9709090863636365</v>
      </c>
      <c r="P205" s="11">
        <f>IFERROR((J205-H205)/H205,0)</f>
        <v>27.610771157605217</v>
      </c>
    </row>
    <row r="206" spans="1:16">
      <c r="A206">
        <v>1121372</v>
      </c>
      <c r="B206" t="s">
        <v>162</v>
      </c>
      <c r="C206" t="s">
        <v>2</v>
      </c>
      <c r="D206" t="s">
        <v>1</v>
      </c>
      <c r="E206" s="14">
        <v>28</v>
      </c>
      <c r="F206" s="14">
        <v>378350</v>
      </c>
      <c r="G206" s="14">
        <v>55</v>
      </c>
      <c r="H206" s="13">
        <v>96.48000073</v>
      </c>
      <c r="I206" s="14">
        <v>11</v>
      </c>
      <c r="J206" s="11">
        <f>I206*85</f>
        <v>935</v>
      </c>
      <c r="K206" s="11">
        <f>J206-H206</f>
        <v>838.51999926999997</v>
      </c>
      <c r="L206" s="10">
        <f>G206/F206</f>
        <v>1.4536804546055239E-4</v>
      </c>
      <c r="M206" s="14">
        <f>IFERROR(ROUND(I206/G206,2),0)</f>
        <v>0.2</v>
      </c>
      <c r="N206" s="11">
        <f>IFERROR(H206/G206,0)</f>
        <v>1.7541818314545454</v>
      </c>
      <c r="O206" s="11">
        <f>IFERROR(H206/I206,0)</f>
        <v>8.7709091572727278</v>
      </c>
      <c r="P206" s="11">
        <f>IFERROR((J206-H206)/H206,0)</f>
        <v>8.6911276215327202</v>
      </c>
    </row>
    <row r="207" spans="1:16">
      <c r="A207">
        <v>1121381</v>
      </c>
      <c r="B207" t="s">
        <v>162</v>
      </c>
      <c r="C207" t="s">
        <v>2</v>
      </c>
      <c r="D207" t="s">
        <v>1</v>
      </c>
      <c r="E207" s="14">
        <v>30</v>
      </c>
      <c r="F207" s="14">
        <v>95691</v>
      </c>
      <c r="G207" s="14">
        <v>15</v>
      </c>
      <c r="H207" s="13">
        <v>25.26000011</v>
      </c>
      <c r="I207" s="14">
        <v>11</v>
      </c>
      <c r="J207" s="11">
        <f>I207*85</f>
        <v>935</v>
      </c>
      <c r="K207" s="11">
        <f>J207-H207</f>
        <v>909.73999989000004</v>
      </c>
      <c r="L207" s="10">
        <f>G207/F207</f>
        <v>1.5675455371978557E-4</v>
      </c>
      <c r="M207" s="14">
        <f>IFERROR(ROUND(I207/G207,2),0)</f>
        <v>0.73</v>
      </c>
      <c r="N207" s="11">
        <f>IFERROR(H207/G207,0)</f>
        <v>1.6840000073333334</v>
      </c>
      <c r="O207" s="11">
        <f>IFERROR(H207/I207,0)</f>
        <v>2.2963636463636363</v>
      </c>
      <c r="P207" s="11">
        <f>IFERROR((J207-H207)/H207,0)</f>
        <v>36.015043385920237</v>
      </c>
    </row>
    <row r="208" spans="1:16">
      <c r="A208">
        <v>1121405</v>
      </c>
      <c r="B208" t="s">
        <v>162</v>
      </c>
      <c r="C208" t="s">
        <v>2</v>
      </c>
      <c r="D208" t="s">
        <v>1</v>
      </c>
      <c r="E208" s="14">
        <v>63</v>
      </c>
      <c r="F208" s="14">
        <v>20959</v>
      </c>
      <c r="G208" s="14">
        <v>2</v>
      </c>
      <c r="H208" s="13">
        <v>3.7699999809999998</v>
      </c>
      <c r="I208" s="14">
        <v>11</v>
      </c>
      <c r="J208" s="11">
        <f>I208*85</f>
        <v>935</v>
      </c>
      <c r="K208" s="11">
        <f>J208-H208</f>
        <v>931.23000001900004</v>
      </c>
      <c r="L208" s="10">
        <f>G208/F208</f>
        <v>9.5424400019084886E-5</v>
      </c>
      <c r="M208" s="14">
        <f>IFERROR(ROUND(I208/G208,2),0)</f>
        <v>5.5</v>
      </c>
      <c r="N208" s="11">
        <f>IFERROR(H208/G208,0)</f>
        <v>1.8849999904999999</v>
      </c>
      <c r="O208" s="11">
        <f>IFERROR(H208/I208,0)</f>
        <v>0.342727271</v>
      </c>
      <c r="P208" s="11">
        <f>IFERROR((J208-H208)/H208,0)</f>
        <v>247.01061132949647</v>
      </c>
    </row>
    <row r="209" spans="1:16">
      <c r="A209">
        <v>1121411</v>
      </c>
      <c r="B209" t="s">
        <v>162</v>
      </c>
      <c r="C209" t="s">
        <v>2</v>
      </c>
      <c r="D209" t="s">
        <v>1</v>
      </c>
      <c r="E209" s="14">
        <v>64</v>
      </c>
      <c r="F209" s="14">
        <v>100351</v>
      </c>
      <c r="G209" s="14">
        <v>15</v>
      </c>
      <c r="H209" s="13">
        <v>24.179999949999999</v>
      </c>
      <c r="I209" s="14">
        <v>11</v>
      </c>
      <c r="J209" s="11">
        <f>I209*85</f>
        <v>935</v>
      </c>
      <c r="K209" s="11">
        <f>J209-H209</f>
        <v>910.82000004999998</v>
      </c>
      <c r="L209" s="10">
        <f>G209/F209</f>
        <v>1.4947534155115546E-4</v>
      </c>
      <c r="M209" s="14">
        <f>IFERROR(ROUND(I209/G209,2),0)</f>
        <v>0.73</v>
      </c>
      <c r="N209" s="11">
        <f>IFERROR(H209/G209,0)</f>
        <v>1.6119999966666667</v>
      </c>
      <c r="O209" s="11">
        <f>IFERROR(H209/I209,0)</f>
        <v>2.1981818136363636</v>
      </c>
      <c r="P209" s="11">
        <f>IFERROR((J209-H209)/H209,0)</f>
        <v>37.668321006344748</v>
      </c>
    </row>
    <row r="210" spans="1:16">
      <c r="A210">
        <v>1121412</v>
      </c>
      <c r="B210" t="s">
        <v>162</v>
      </c>
      <c r="C210" t="s">
        <v>2</v>
      </c>
      <c r="D210" t="s">
        <v>1</v>
      </c>
      <c r="E210" s="14">
        <v>64</v>
      </c>
      <c r="F210" s="14">
        <v>292448</v>
      </c>
      <c r="G210" s="14">
        <v>43</v>
      </c>
      <c r="H210" s="13">
        <v>76.899999679999993</v>
      </c>
      <c r="I210" s="14">
        <v>11</v>
      </c>
      <c r="J210" s="11">
        <f>I210*85</f>
        <v>935</v>
      </c>
      <c r="K210" s="11">
        <f>J210-H210</f>
        <v>858.10000032000005</v>
      </c>
      <c r="L210" s="10">
        <f>G210/F210</f>
        <v>1.4703468650837073E-4</v>
      </c>
      <c r="M210" s="14">
        <f>IFERROR(ROUND(I210/G210,2),0)</f>
        <v>0.26</v>
      </c>
      <c r="N210" s="11">
        <f>IFERROR(H210/G210,0)</f>
        <v>1.7883720855813952</v>
      </c>
      <c r="O210" s="11">
        <f>IFERROR(H210/I210,0)</f>
        <v>6.9909090618181811</v>
      </c>
      <c r="P210" s="11">
        <f>IFERROR((J210-H210)/H210,0)</f>
        <v>11.158647644873438</v>
      </c>
    </row>
    <row r="211" spans="1:16">
      <c r="A211">
        <v>1121421</v>
      </c>
      <c r="B211" t="s">
        <v>162</v>
      </c>
      <c r="C211" t="s">
        <v>2</v>
      </c>
      <c r="D211" t="s">
        <v>1</v>
      </c>
      <c r="E211" s="14">
        <v>2</v>
      </c>
      <c r="F211" s="14">
        <v>233404</v>
      </c>
      <c r="G211" s="14">
        <v>43</v>
      </c>
      <c r="H211" s="13">
        <v>70.410000800000006</v>
      </c>
      <c r="I211" s="14">
        <v>11</v>
      </c>
      <c r="J211" s="11">
        <f>I211*85</f>
        <v>935</v>
      </c>
      <c r="K211" s="11">
        <f>J211-H211</f>
        <v>864.58999919999997</v>
      </c>
      <c r="L211" s="10">
        <f>G211/F211</f>
        <v>1.8422991893883567E-4</v>
      </c>
      <c r="M211" s="14">
        <f>IFERROR(ROUND(I211/G211,2),0)</f>
        <v>0.26</v>
      </c>
      <c r="N211" s="11">
        <f>IFERROR(H211/G211,0)</f>
        <v>1.6374418790697676</v>
      </c>
      <c r="O211" s="11">
        <f>IFERROR(H211/I211,0)</f>
        <v>6.4009091636363644</v>
      </c>
      <c r="P211" s="11">
        <f>IFERROR((J211-H211)/H211,0)</f>
        <v>12.279363575862932</v>
      </c>
    </row>
    <row r="212" spans="1:16">
      <c r="A212">
        <v>1121423</v>
      </c>
      <c r="B212" t="s">
        <v>162</v>
      </c>
      <c r="C212" t="s">
        <v>2</v>
      </c>
      <c r="D212" t="s">
        <v>1</v>
      </c>
      <c r="E212" s="14">
        <v>2</v>
      </c>
      <c r="F212" s="14">
        <v>63564</v>
      </c>
      <c r="G212" s="14">
        <v>12</v>
      </c>
      <c r="H212" s="13">
        <v>20.590000270000001</v>
      </c>
      <c r="I212" s="14">
        <v>11</v>
      </c>
      <c r="J212" s="11">
        <f>I212*85</f>
        <v>935</v>
      </c>
      <c r="K212" s="11">
        <f>J212-H212</f>
        <v>914.40999972999998</v>
      </c>
      <c r="L212" s="10">
        <f>G212/F212</f>
        <v>1.8878610534264677E-4</v>
      </c>
      <c r="M212" s="14">
        <f>IFERROR(ROUND(I212/G212,2),0)</f>
        <v>0.92</v>
      </c>
      <c r="N212" s="11">
        <f>IFERROR(H212/G212,0)</f>
        <v>1.7158333558333334</v>
      </c>
      <c r="O212" s="11">
        <f>IFERROR(H212/I212,0)</f>
        <v>1.8718182063636364</v>
      </c>
      <c r="P212" s="11">
        <f>IFERROR((J212-H212)/H212,0)</f>
        <v>44.410392799378045</v>
      </c>
    </row>
    <row r="213" spans="1:16">
      <c r="A213">
        <v>1121425</v>
      </c>
      <c r="B213" t="s">
        <v>162</v>
      </c>
      <c r="C213" t="s">
        <v>2</v>
      </c>
      <c r="D213" t="s">
        <v>1</v>
      </c>
      <c r="E213" s="14">
        <v>2</v>
      </c>
      <c r="F213" s="14">
        <v>85970</v>
      </c>
      <c r="G213" s="14">
        <v>14</v>
      </c>
      <c r="H213" s="13">
        <v>24.780000210000001</v>
      </c>
      <c r="I213" s="14">
        <v>11</v>
      </c>
      <c r="J213" s="11">
        <f>I213*85</f>
        <v>935</v>
      </c>
      <c r="K213" s="11">
        <f>J213-H213</f>
        <v>910.21999978999997</v>
      </c>
      <c r="L213" s="10">
        <f>G213/F213</f>
        <v>1.6284750494358497E-4</v>
      </c>
      <c r="M213" s="14">
        <f>IFERROR(ROUND(I213/G213,2),0)</f>
        <v>0.79</v>
      </c>
      <c r="N213" s="11">
        <f>IFERROR(H213/G213,0)</f>
        <v>1.7700000150000001</v>
      </c>
      <c r="O213" s="11">
        <f>IFERROR(H213/I213,0)</f>
        <v>2.2527272918181818</v>
      </c>
      <c r="P213" s="11">
        <f>IFERROR((J213-H213)/H213,0)</f>
        <v>36.732041649567037</v>
      </c>
    </row>
    <row r="214" spans="1:16">
      <c r="A214">
        <v>1121433</v>
      </c>
      <c r="B214" t="s">
        <v>162</v>
      </c>
      <c r="C214" t="s">
        <v>2</v>
      </c>
      <c r="D214" t="s">
        <v>1</v>
      </c>
      <c r="E214" s="14">
        <v>66</v>
      </c>
      <c r="F214" s="14">
        <v>80248</v>
      </c>
      <c r="G214" s="14">
        <v>15</v>
      </c>
      <c r="H214" s="13">
        <v>24.190000300000001</v>
      </c>
      <c r="I214" s="14">
        <v>11</v>
      </c>
      <c r="J214" s="11">
        <f>I214*85</f>
        <v>935</v>
      </c>
      <c r="K214" s="11">
        <f>J214-H214</f>
        <v>910.80999970000005</v>
      </c>
      <c r="L214" s="10">
        <f>G214/F214</f>
        <v>1.8692054630645001E-4</v>
      </c>
      <c r="M214" s="14">
        <f>IFERROR(ROUND(I214/G214,2),0)</f>
        <v>0.73</v>
      </c>
      <c r="N214" s="11">
        <f>IFERROR(H214/G214,0)</f>
        <v>1.6126666866666668</v>
      </c>
      <c r="O214" s="11">
        <f>IFERROR(H214/I214,0)</f>
        <v>2.1990909363636364</v>
      </c>
      <c r="P214" s="11">
        <f>IFERROR((J214-H214)/H214,0)</f>
        <v>37.652335196539866</v>
      </c>
    </row>
    <row r="215" spans="1:16">
      <c r="A215">
        <v>1121442</v>
      </c>
      <c r="B215" t="s">
        <v>162</v>
      </c>
      <c r="C215" t="s">
        <v>3</v>
      </c>
      <c r="D215" t="s">
        <v>1</v>
      </c>
      <c r="E215" s="14">
        <v>10</v>
      </c>
      <c r="F215" s="14">
        <v>131637</v>
      </c>
      <c r="G215" s="14">
        <v>18</v>
      </c>
      <c r="H215" s="13">
        <v>29.309999820000002</v>
      </c>
      <c r="I215" s="14">
        <v>11</v>
      </c>
      <c r="J215" s="11">
        <f>I215*85</f>
        <v>935</v>
      </c>
      <c r="K215" s="11">
        <f>J215-H215</f>
        <v>905.69000017999997</v>
      </c>
      <c r="L215" s="10">
        <f>G215/F215</f>
        <v>1.367396704573942E-4</v>
      </c>
      <c r="M215" s="14">
        <f>IFERROR(ROUND(I215/G215,2),0)</f>
        <v>0.61</v>
      </c>
      <c r="N215" s="11">
        <f>IFERROR(H215/G215,0)</f>
        <v>1.6283333233333335</v>
      </c>
      <c r="O215" s="11">
        <f>IFERROR(H215/I215,0)</f>
        <v>2.6645454381818183</v>
      </c>
      <c r="P215" s="11">
        <f>IFERROR((J215-H215)/H215,0)</f>
        <v>30.900375494441061</v>
      </c>
    </row>
    <row r="216" spans="1:16">
      <c r="A216">
        <v>1121528</v>
      </c>
      <c r="B216" t="s">
        <v>162</v>
      </c>
      <c r="C216" t="s">
        <v>3</v>
      </c>
      <c r="D216" t="s">
        <v>1</v>
      </c>
      <c r="E216" s="14">
        <v>29</v>
      </c>
      <c r="F216" s="14">
        <v>172827</v>
      </c>
      <c r="G216" s="14">
        <v>25</v>
      </c>
      <c r="H216" s="13">
        <v>38.420000430000002</v>
      </c>
      <c r="I216" s="14">
        <v>11</v>
      </c>
      <c r="J216" s="11">
        <f>I216*85</f>
        <v>935</v>
      </c>
      <c r="K216" s="11">
        <f>J216-H216</f>
        <v>896.57999957000004</v>
      </c>
      <c r="L216" s="10">
        <f>G216/F216</f>
        <v>1.4465332384407529E-4</v>
      </c>
      <c r="M216" s="14">
        <f>IFERROR(ROUND(I216/G216,2),0)</f>
        <v>0.44</v>
      </c>
      <c r="N216" s="11">
        <f>IFERROR(H216/G216,0)</f>
        <v>1.5368000172</v>
      </c>
      <c r="O216" s="11">
        <f>IFERROR(H216/I216,0)</f>
        <v>3.4927273118181819</v>
      </c>
      <c r="P216" s="11">
        <f>IFERROR((J216-H216)/H216,0)</f>
        <v>23.336282913466903</v>
      </c>
    </row>
    <row r="217" spans="1:16">
      <c r="A217">
        <v>1121530</v>
      </c>
      <c r="B217" t="s">
        <v>162</v>
      </c>
      <c r="C217" t="s">
        <v>3</v>
      </c>
      <c r="D217" t="s">
        <v>1</v>
      </c>
      <c r="E217" s="14">
        <v>30</v>
      </c>
      <c r="F217" s="14">
        <v>188873</v>
      </c>
      <c r="G217" s="14">
        <v>38</v>
      </c>
      <c r="H217" s="13">
        <v>58.5999999</v>
      </c>
      <c r="I217" s="14">
        <v>11</v>
      </c>
      <c r="J217" s="11">
        <f>I217*85</f>
        <v>935</v>
      </c>
      <c r="K217" s="11">
        <f>J217-H217</f>
        <v>876.40000009999994</v>
      </c>
      <c r="L217" s="10">
        <f>G217/F217</f>
        <v>2.0119339450318469E-4</v>
      </c>
      <c r="M217" s="14">
        <f>IFERROR(ROUND(I217/G217,2),0)</f>
        <v>0.28999999999999998</v>
      </c>
      <c r="N217" s="11">
        <f>IFERROR(H217/G217,0)</f>
        <v>1.5421052605263157</v>
      </c>
      <c r="O217" s="11">
        <f>IFERROR(H217/I217,0)</f>
        <v>5.3272727181818178</v>
      </c>
      <c r="P217" s="11">
        <f>IFERROR((J217-H217)/H217,0)</f>
        <v>14.955631426545445</v>
      </c>
    </row>
    <row r="218" spans="1:16">
      <c r="A218">
        <v>1121532</v>
      </c>
      <c r="B218" t="s">
        <v>162</v>
      </c>
      <c r="C218" t="s">
        <v>3</v>
      </c>
      <c r="D218" t="s">
        <v>1</v>
      </c>
      <c r="E218" s="14">
        <v>30</v>
      </c>
      <c r="F218" s="14">
        <v>123126</v>
      </c>
      <c r="G218" s="14">
        <v>25</v>
      </c>
      <c r="H218" s="13">
        <v>39.72999978</v>
      </c>
      <c r="I218" s="14">
        <v>11</v>
      </c>
      <c r="J218" s="11">
        <f>I218*85</f>
        <v>935</v>
      </c>
      <c r="K218" s="11">
        <f>J218-H218</f>
        <v>895.27000022000004</v>
      </c>
      <c r="L218" s="10">
        <f>G218/F218</f>
        <v>2.03044036190569E-4</v>
      </c>
      <c r="M218" s="14">
        <f>IFERROR(ROUND(I218/G218,2),0)</f>
        <v>0.44</v>
      </c>
      <c r="N218" s="11">
        <f>IFERROR(H218/G218,0)</f>
        <v>1.5891999912000001</v>
      </c>
      <c r="O218" s="11">
        <f>IFERROR(H218/I218,0)</f>
        <v>3.6118181618181819</v>
      </c>
      <c r="P218" s="11">
        <f>IFERROR((J218-H218)/H218,0)</f>
        <v>22.533853641516433</v>
      </c>
    </row>
    <row r="219" spans="1:16">
      <c r="A219">
        <v>1121545</v>
      </c>
      <c r="B219" t="s">
        <v>162</v>
      </c>
      <c r="C219" t="s">
        <v>3</v>
      </c>
      <c r="D219" t="s">
        <v>1</v>
      </c>
      <c r="E219" s="14">
        <v>32</v>
      </c>
      <c r="F219" s="14">
        <v>208572</v>
      </c>
      <c r="G219" s="14">
        <v>36</v>
      </c>
      <c r="H219" s="13">
        <v>60.760000230000003</v>
      </c>
      <c r="I219" s="14">
        <v>11</v>
      </c>
      <c r="J219" s="11">
        <f>I219*85</f>
        <v>935</v>
      </c>
      <c r="K219" s="11">
        <f>J219-H219</f>
        <v>874.23999976999994</v>
      </c>
      <c r="L219" s="10">
        <f>G219/F219</f>
        <v>1.7260226684310455E-4</v>
      </c>
      <c r="M219" s="14">
        <f>IFERROR(ROUND(I219/G219,2),0)</f>
        <v>0.31</v>
      </c>
      <c r="N219" s="11">
        <f>IFERROR(H219/G219,0)</f>
        <v>1.6877777841666668</v>
      </c>
      <c r="O219" s="11">
        <f>IFERROR(H219/I219,0)</f>
        <v>5.5236363845454548</v>
      </c>
      <c r="P219" s="11">
        <f>IFERROR((J219-H219)/H219,0)</f>
        <v>14.388413371637011</v>
      </c>
    </row>
    <row r="220" spans="1:16">
      <c r="A220">
        <v>1121554</v>
      </c>
      <c r="B220" t="s">
        <v>162</v>
      </c>
      <c r="C220" t="s">
        <v>3</v>
      </c>
      <c r="D220" t="s">
        <v>1</v>
      </c>
      <c r="E220" s="14">
        <v>63</v>
      </c>
      <c r="F220" s="14">
        <v>51858</v>
      </c>
      <c r="G220" s="14">
        <v>8</v>
      </c>
      <c r="H220" s="13">
        <v>12.630000109999999</v>
      </c>
      <c r="I220" s="14">
        <v>11</v>
      </c>
      <c r="J220" s="11">
        <f>I220*85</f>
        <v>935</v>
      </c>
      <c r="K220" s="11">
        <f>J220-H220</f>
        <v>922.36999989000003</v>
      </c>
      <c r="L220" s="10">
        <f>G220/F220</f>
        <v>1.5426742257703731E-4</v>
      </c>
      <c r="M220" s="14">
        <f>IFERROR(ROUND(I220/G220,2),0)</f>
        <v>1.38</v>
      </c>
      <c r="N220" s="11">
        <f>IFERROR(H220/G220,0)</f>
        <v>1.5787500137499999</v>
      </c>
      <c r="O220" s="11">
        <f>IFERROR(H220/I220,0)</f>
        <v>1.1481818281818181</v>
      </c>
      <c r="P220" s="11">
        <f>IFERROR((J220-H220)/H220,0)</f>
        <v>73.030086449460853</v>
      </c>
    </row>
    <row r="221" spans="1:16">
      <c r="A221">
        <v>1121568</v>
      </c>
      <c r="B221" t="s">
        <v>162</v>
      </c>
      <c r="C221" t="s">
        <v>3</v>
      </c>
      <c r="D221" t="s">
        <v>1</v>
      </c>
      <c r="E221" s="14">
        <v>65</v>
      </c>
      <c r="F221" s="14">
        <v>188440</v>
      </c>
      <c r="G221" s="14">
        <v>40</v>
      </c>
      <c r="H221" s="13">
        <v>60.729999659999997</v>
      </c>
      <c r="I221" s="14">
        <v>11</v>
      </c>
      <c r="J221" s="11">
        <f>I221*85</f>
        <v>935</v>
      </c>
      <c r="K221" s="11">
        <f>J221-H221</f>
        <v>874.27000034000002</v>
      </c>
      <c r="L221" s="10">
        <f>G221/F221</f>
        <v>2.1226915729144556E-4</v>
      </c>
      <c r="M221" s="14">
        <f>IFERROR(ROUND(I221/G221,2),0)</f>
        <v>0.28000000000000003</v>
      </c>
      <c r="N221" s="11">
        <f>IFERROR(H221/G221,0)</f>
        <v>1.5182499914999998</v>
      </c>
      <c r="O221" s="11">
        <f>IFERROR(H221/I221,0)</f>
        <v>5.5209090600000001</v>
      </c>
      <c r="P221" s="11">
        <f>IFERROR((J221-H221)/H221,0)</f>
        <v>14.39601523521563</v>
      </c>
    </row>
    <row r="222" spans="1:16">
      <c r="A222">
        <v>1121571</v>
      </c>
      <c r="B222" t="s">
        <v>162</v>
      </c>
      <c r="C222" t="s">
        <v>3</v>
      </c>
      <c r="D222" t="s">
        <v>1</v>
      </c>
      <c r="E222" s="14">
        <v>2</v>
      </c>
      <c r="F222" s="14">
        <v>212496</v>
      </c>
      <c r="G222" s="14">
        <v>44</v>
      </c>
      <c r="H222" s="13">
        <v>74.830001350000003</v>
      </c>
      <c r="I222" s="14">
        <v>11</v>
      </c>
      <c r="J222" s="11">
        <f>I222*85</f>
        <v>935</v>
      </c>
      <c r="K222" s="11">
        <f>J222-H222</f>
        <v>860.16999865000003</v>
      </c>
      <c r="L222" s="10">
        <f>G222/F222</f>
        <v>2.07062721180634E-4</v>
      </c>
      <c r="M222" s="14">
        <f>IFERROR(ROUND(I222/G222,2),0)</f>
        <v>0.25</v>
      </c>
      <c r="N222" s="11">
        <f>IFERROR(H222/G222,0)</f>
        <v>1.7006818488636364</v>
      </c>
      <c r="O222" s="11">
        <f>IFERROR(H222/I222,0)</f>
        <v>6.8027273954545455</v>
      </c>
      <c r="P222" s="11">
        <f>IFERROR((J222-H222)/H222,0)</f>
        <v>11.494988415498671</v>
      </c>
    </row>
    <row r="223" spans="1:16">
      <c r="A223">
        <v>1121590</v>
      </c>
      <c r="B223" t="s">
        <v>162</v>
      </c>
      <c r="C223" t="s">
        <v>4</v>
      </c>
      <c r="D223" t="s">
        <v>1</v>
      </c>
      <c r="E223" s="14">
        <v>10</v>
      </c>
      <c r="F223" s="14">
        <v>478480</v>
      </c>
      <c r="G223" s="14">
        <v>75</v>
      </c>
      <c r="H223" s="13">
        <v>135.75000120000001</v>
      </c>
      <c r="I223" s="14">
        <v>11</v>
      </c>
      <c r="J223" s="11">
        <f>I223*85</f>
        <v>935</v>
      </c>
      <c r="K223" s="11">
        <f>J223-H223</f>
        <v>799.24999879999996</v>
      </c>
      <c r="L223" s="10">
        <f>G223/F223</f>
        <v>1.5674636348436715E-4</v>
      </c>
      <c r="M223" s="14">
        <f>IFERROR(ROUND(I223/G223,2),0)</f>
        <v>0.15</v>
      </c>
      <c r="N223" s="11">
        <f>IFERROR(H223/G223,0)</f>
        <v>1.8100000160000003</v>
      </c>
      <c r="O223" s="11">
        <f>IFERROR(H223/I223,0)</f>
        <v>12.3409092</v>
      </c>
      <c r="P223" s="11">
        <f>IFERROR((J223-H223)/H223,0)</f>
        <v>5.8876610809193854</v>
      </c>
    </row>
    <row r="224" spans="1:16">
      <c r="A224">
        <v>1121597</v>
      </c>
      <c r="B224" t="s">
        <v>162</v>
      </c>
      <c r="C224" t="s">
        <v>4</v>
      </c>
      <c r="D224" t="s">
        <v>1</v>
      </c>
      <c r="E224" s="14">
        <v>15</v>
      </c>
      <c r="F224" s="14">
        <v>54237</v>
      </c>
      <c r="G224" s="14">
        <v>7</v>
      </c>
      <c r="H224" s="13">
        <v>10.779999849999999</v>
      </c>
      <c r="I224" s="14">
        <v>11</v>
      </c>
      <c r="J224" s="11">
        <f>I224*85</f>
        <v>935</v>
      </c>
      <c r="K224" s="11">
        <f>J224-H224</f>
        <v>924.22000015000003</v>
      </c>
      <c r="L224" s="10">
        <f>G224/F224</f>
        <v>1.2906318564817376E-4</v>
      </c>
      <c r="M224" s="14">
        <f>IFERROR(ROUND(I224/G224,2),0)</f>
        <v>1.57</v>
      </c>
      <c r="N224" s="11">
        <f>IFERROR(H224/G224,0)</f>
        <v>1.5399999785714285</v>
      </c>
      <c r="O224" s="11">
        <f>IFERROR(H224/I224,0)</f>
        <v>0.97999998636363628</v>
      </c>
      <c r="P224" s="11">
        <f>IFERROR((J224-H224)/H224,0)</f>
        <v>85.734695084434534</v>
      </c>
    </row>
    <row r="225" spans="1:16">
      <c r="A225">
        <v>1121598</v>
      </c>
      <c r="B225" t="s">
        <v>162</v>
      </c>
      <c r="C225" t="s">
        <v>4</v>
      </c>
      <c r="D225" t="s">
        <v>1</v>
      </c>
      <c r="E225" s="14">
        <v>15</v>
      </c>
      <c r="F225" s="14">
        <v>506916</v>
      </c>
      <c r="G225" s="14">
        <v>89</v>
      </c>
      <c r="H225" s="13">
        <v>133.69999859999999</v>
      </c>
      <c r="I225" s="14">
        <v>11</v>
      </c>
      <c r="J225" s="11">
        <f>I225*85</f>
        <v>935</v>
      </c>
      <c r="K225" s="11">
        <f>J225-H225</f>
        <v>801.30000140000004</v>
      </c>
      <c r="L225" s="10">
        <f>G225/F225</f>
        <v>1.7557149508005271E-4</v>
      </c>
      <c r="M225" s="14">
        <f>IFERROR(ROUND(I225/G225,2),0)</f>
        <v>0.12</v>
      </c>
      <c r="N225" s="11">
        <f>IFERROR(H225/G225,0)</f>
        <v>1.5022471752808988</v>
      </c>
      <c r="O225" s="11">
        <f>IFERROR(H225/I225,0)</f>
        <v>12.154545327272727</v>
      </c>
      <c r="P225" s="11">
        <f>IFERROR((J225-H225)/H225,0)</f>
        <v>5.9932685848210632</v>
      </c>
    </row>
    <row r="226" spans="1:16">
      <c r="A226">
        <v>1121652</v>
      </c>
      <c r="B226" t="s">
        <v>162</v>
      </c>
      <c r="C226" t="s">
        <v>4</v>
      </c>
      <c r="D226" t="s">
        <v>1</v>
      </c>
      <c r="E226" s="14">
        <v>25</v>
      </c>
      <c r="F226" s="14">
        <v>123151</v>
      </c>
      <c r="G226" s="14">
        <v>24</v>
      </c>
      <c r="H226" s="13">
        <v>36.440000300000001</v>
      </c>
      <c r="I226" s="14">
        <v>11</v>
      </c>
      <c r="J226" s="11">
        <f>I226*85</f>
        <v>935</v>
      </c>
      <c r="K226" s="11">
        <f>J226-H226</f>
        <v>898.55999970000005</v>
      </c>
      <c r="L226" s="10">
        <f>G226/F226</f>
        <v>1.9488270497194501E-4</v>
      </c>
      <c r="M226" s="14">
        <f>IFERROR(ROUND(I226/G226,2),0)</f>
        <v>0.46</v>
      </c>
      <c r="N226" s="11">
        <f>IFERROR(H226/G226,0)</f>
        <v>1.5183333458333335</v>
      </c>
      <c r="O226" s="11">
        <f>IFERROR(H226/I226,0)</f>
        <v>3.3127273000000002</v>
      </c>
      <c r="P226" s="11">
        <f>IFERROR((J226-H226)/H226,0)</f>
        <v>24.658616693260566</v>
      </c>
    </row>
    <row r="227" spans="1:16">
      <c r="A227">
        <v>1121661</v>
      </c>
      <c r="B227" t="s">
        <v>162</v>
      </c>
      <c r="C227" t="s">
        <v>4</v>
      </c>
      <c r="D227" t="s">
        <v>1</v>
      </c>
      <c r="E227" s="14">
        <v>27</v>
      </c>
      <c r="F227" s="14">
        <v>517801</v>
      </c>
      <c r="G227" s="14">
        <v>105</v>
      </c>
      <c r="H227" s="13">
        <v>181.72000109999999</v>
      </c>
      <c r="I227" s="14">
        <v>11</v>
      </c>
      <c r="J227" s="11">
        <f>I227*85</f>
        <v>935</v>
      </c>
      <c r="K227" s="11">
        <f>J227-H227</f>
        <v>753.27999890000001</v>
      </c>
      <c r="L227" s="10">
        <f>G227/F227</f>
        <v>2.0278060490420066E-4</v>
      </c>
      <c r="M227" s="14">
        <f>IFERROR(ROUND(I227/G227,2),0)</f>
        <v>0.1</v>
      </c>
      <c r="N227" s="11">
        <f>IFERROR(H227/G227,0)</f>
        <v>1.7306666771428572</v>
      </c>
      <c r="O227" s="11">
        <f>IFERROR(H227/I227,0)</f>
        <v>16.520000100000001</v>
      </c>
      <c r="P227" s="11">
        <f>IFERROR((J227-H227)/H227,0)</f>
        <v>4.1452784192174432</v>
      </c>
    </row>
    <row r="228" spans="1:16">
      <c r="A228">
        <v>1121662</v>
      </c>
      <c r="B228" t="s">
        <v>162</v>
      </c>
      <c r="C228" t="s">
        <v>4</v>
      </c>
      <c r="D228" t="s">
        <v>1</v>
      </c>
      <c r="E228" s="14">
        <v>27</v>
      </c>
      <c r="F228" s="14">
        <v>145104</v>
      </c>
      <c r="G228" s="14">
        <v>25</v>
      </c>
      <c r="H228" s="13">
        <v>41.420000080000001</v>
      </c>
      <c r="I228" s="14">
        <v>11</v>
      </c>
      <c r="J228" s="11">
        <f>I228*85</f>
        <v>935</v>
      </c>
      <c r="K228" s="11">
        <f>J228-H228</f>
        <v>893.57999991999998</v>
      </c>
      <c r="L228" s="10">
        <f>G228/F228</f>
        <v>1.7229021942882346E-4</v>
      </c>
      <c r="M228" s="14">
        <f>IFERROR(ROUND(I228/G228,2),0)</f>
        <v>0.44</v>
      </c>
      <c r="N228" s="11">
        <f>IFERROR(H228/G228,0)</f>
        <v>1.6568000032000001</v>
      </c>
      <c r="O228" s="11">
        <f>IFERROR(H228/I228,0)</f>
        <v>3.7654545527272729</v>
      </c>
      <c r="P228" s="11">
        <f>IFERROR((J228-H228)/H228,0)</f>
        <v>21.57363588107458</v>
      </c>
    </row>
    <row r="229" spans="1:16">
      <c r="A229">
        <v>1121667</v>
      </c>
      <c r="B229" t="s">
        <v>162</v>
      </c>
      <c r="C229" t="s">
        <v>4</v>
      </c>
      <c r="D229" t="s">
        <v>1</v>
      </c>
      <c r="E229" s="14">
        <v>28</v>
      </c>
      <c r="F229" s="14">
        <v>273197</v>
      </c>
      <c r="G229" s="14">
        <v>57</v>
      </c>
      <c r="H229" s="13">
        <v>87.730000500000003</v>
      </c>
      <c r="I229" s="14">
        <v>11</v>
      </c>
      <c r="J229" s="11">
        <f>I229*85</f>
        <v>935</v>
      </c>
      <c r="K229" s="11">
        <f>J229-H229</f>
        <v>847.26999950000004</v>
      </c>
      <c r="L229" s="10">
        <f>G229/F229</f>
        <v>2.086406512516609E-4</v>
      </c>
      <c r="M229" s="14">
        <f>IFERROR(ROUND(I229/G229,2),0)</f>
        <v>0.19</v>
      </c>
      <c r="N229" s="11">
        <f>IFERROR(H229/G229,0)</f>
        <v>1.5391228157894736</v>
      </c>
      <c r="O229" s="11">
        <f>IFERROR(H229/I229,0)</f>
        <v>7.9754545909090915</v>
      </c>
      <c r="P229" s="11">
        <f>IFERROR((J229-H229)/H229,0)</f>
        <v>9.6576996998877256</v>
      </c>
    </row>
    <row r="230" spans="1:16">
      <c r="A230">
        <v>1121672</v>
      </c>
      <c r="B230" t="s">
        <v>162</v>
      </c>
      <c r="C230" t="s">
        <v>4</v>
      </c>
      <c r="D230" t="s">
        <v>1</v>
      </c>
      <c r="E230" s="14">
        <v>28</v>
      </c>
      <c r="F230" s="14">
        <v>60314</v>
      </c>
      <c r="G230" s="14">
        <v>11</v>
      </c>
      <c r="H230" s="13">
        <v>16.939999579999999</v>
      </c>
      <c r="I230" s="14">
        <v>11</v>
      </c>
      <c r="J230" s="11">
        <f>I230*85</f>
        <v>935</v>
      </c>
      <c r="K230" s="11">
        <f>J230-H230</f>
        <v>918.06000042000005</v>
      </c>
      <c r="L230" s="10">
        <f>G230/F230</f>
        <v>1.8237888384123088E-4</v>
      </c>
      <c r="M230" s="14">
        <f>IFERROR(ROUND(I230/G230,2),0)</f>
        <v>1</v>
      </c>
      <c r="N230" s="11">
        <f>IFERROR(H230/G230,0)</f>
        <v>1.5399999618181817</v>
      </c>
      <c r="O230" s="11">
        <f>IFERROR(H230/I230,0)</f>
        <v>1.5399999618181817</v>
      </c>
      <c r="P230" s="11">
        <f>IFERROR((J230-H230)/H230,0)</f>
        <v>54.194806563271484</v>
      </c>
    </row>
    <row r="231" spans="1:16">
      <c r="A231">
        <v>1121687</v>
      </c>
      <c r="B231" t="s">
        <v>162</v>
      </c>
      <c r="C231" t="s">
        <v>4</v>
      </c>
      <c r="D231" t="s">
        <v>1</v>
      </c>
      <c r="E231" s="14">
        <v>31</v>
      </c>
      <c r="F231" s="14">
        <v>118882</v>
      </c>
      <c r="G231" s="14">
        <v>19</v>
      </c>
      <c r="H231" s="13">
        <v>32.309999939999997</v>
      </c>
      <c r="I231" s="14">
        <v>11</v>
      </c>
      <c r="J231" s="11">
        <f>I231*85</f>
        <v>935</v>
      </c>
      <c r="K231" s="11">
        <f>J231-H231</f>
        <v>902.69000005999999</v>
      </c>
      <c r="L231" s="10">
        <f>G231/F231</f>
        <v>1.5982234484614996E-4</v>
      </c>
      <c r="M231" s="14">
        <f>IFERROR(ROUND(I231/G231,2),0)</f>
        <v>0.57999999999999996</v>
      </c>
      <c r="N231" s="11">
        <f>IFERROR(H231/G231,0)</f>
        <v>1.7005263126315788</v>
      </c>
      <c r="O231" s="11">
        <f>IFERROR(H231/I231,0)</f>
        <v>2.9372727218181818</v>
      </c>
      <c r="P231" s="11">
        <f>IFERROR((J231-H231)/H231,0)</f>
        <v>27.93840921498931</v>
      </c>
    </row>
    <row r="232" spans="1:16">
      <c r="A232">
        <v>1121711</v>
      </c>
      <c r="B232" t="s">
        <v>162</v>
      </c>
      <c r="C232" t="s">
        <v>4</v>
      </c>
      <c r="D232" t="s">
        <v>1</v>
      </c>
      <c r="E232" s="14">
        <v>64</v>
      </c>
      <c r="F232" s="14">
        <v>49916</v>
      </c>
      <c r="G232" s="14">
        <v>10</v>
      </c>
      <c r="H232" s="13">
        <v>16.38</v>
      </c>
      <c r="I232" s="14">
        <v>11</v>
      </c>
      <c r="J232" s="11">
        <f>I232*85</f>
        <v>935</v>
      </c>
      <c r="K232" s="11">
        <f>J232-H232</f>
        <v>918.62</v>
      </c>
      <c r="L232" s="10">
        <f>G232/F232</f>
        <v>2.0033656542992227E-4</v>
      </c>
      <c r="M232" s="14">
        <f>IFERROR(ROUND(I232/G232,2),0)</f>
        <v>1.1000000000000001</v>
      </c>
      <c r="N232" s="11">
        <f>IFERROR(H232/G232,0)</f>
        <v>1.6379999999999999</v>
      </c>
      <c r="O232" s="11">
        <f>IFERROR(H232/I232,0)</f>
        <v>1.489090909090909</v>
      </c>
      <c r="P232" s="11">
        <f>IFERROR((J232-H232)/H232,0)</f>
        <v>56.081807081807085</v>
      </c>
    </row>
    <row r="233" spans="1:16">
      <c r="A233">
        <v>1121859</v>
      </c>
      <c r="B233" t="s">
        <v>162</v>
      </c>
      <c r="C233" t="s">
        <v>0</v>
      </c>
      <c r="D233" t="s">
        <v>5</v>
      </c>
      <c r="E233" s="14">
        <v>64</v>
      </c>
      <c r="F233" s="14">
        <v>238036</v>
      </c>
      <c r="G233" s="14">
        <v>38</v>
      </c>
      <c r="H233" s="13">
        <v>61.029997710000004</v>
      </c>
      <c r="I233" s="14">
        <v>11</v>
      </c>
      <c r="J233" s="11">
        <f>I233*85</f>
        <v>935</v>
      </c>
      <c r="K233" s="11">
        <f>J233-H233</f>
        <v>873.97000229000002</v>
      </c>
      <c r="L233" s="10">
        <f>G233/F233</f>
        <v>1.5963971836192845E-4</v>
      </c>
      <c r="M233" s="14">
        <f>IFERROR(ROUND(I233/G233,2),0)</f>
        <v>0.28999999999999998</v>
      </c>
      <c r="N233" s="11">
        <f>IFERROR(H233/G233,0)</f>
        <v>1.6060525713157896</v>
      </c>
      <c r="O233" s="11">
        <f>IFERROR(H233/I233,0)</f>
        <v>5.5481816100000003</v>
      </c>
      <c r="P233" s="11">
        <f>IFERROR((J233-H233)/H233,0)</f>
        <v>14.320334836696162</v>
      </c>
    </row>
    <row r="234" spans="1:16">
      <c r="A234">
        <v>1122041</v>
      </c>
      <c r="B234" t="s">
        <v>162</v>
      </c>
      <c r="C234" t="s">
        <v>3</v>
      </c>
      <c r="D234" t="s">
        <v>5</v>
      </c>
      <c r="E234" s="14">
        <v>10</v>
      </c>
      <c r="F234" s="14">
        <v>611601</v>
      </c>
      <c r="G234" s="14">
        <v>138</v>
      </c>
      <c r="H234" s="13">
        <v>191.419996</v>
      </c>
      <c r="I234" s="14">
        <v>11</v>
      </c>
      <c r="J234" s="11">
        <f>I234*85</f>
        <v>935</v>
      </c>
      <c r="K234" s="11">
        <f>J234-H234</f>
        <v>743.58000400000003</v>
      </c>
      <c r="L234" s="10">
        <f>G234/F234</f>
        <v>2.2563730275130354E-4</v>
      </c>
      <c r="M234" s="14">
        <f>IFERROR(ROUND(I234/G234,2),0)</f>
        <v>0.08</v>
      </c>
      <c r="N234" s="11">
        <f>IFERROR(H234/G234,0)</f>
        <v>1.3871014202898551</v>
      </c>
      <c r="O234" s="11">
        <f>IFERROR(H234/I234,0)</f>
        <v>17.401817818181819</v>
      </c>
      <c r="P234" s="11">
        <f>IFERROR((J234-H234)/H234,0)</f>
        <v>3.8845471713414939</v>
      </c>
    </row>
    <row r="235" spans="1:16">
      <c r="A235">
        <v>1122043</v>
      </c>
      <c r="B235" t="s">
        <v>162</v>
      </c>
      <c r="C235" t="s">
        <v>3</v>
      </c>
      <c r="D235" t="s">
        <v>5</v>
      </c>
      <c r="E235" s="14">
        <v>10</v>
      </c>
      <c r="F235" s="14">
        <v>947657</v>
      </c>
      <c r="G235" s="14">
        <v>233</v>
      </c>
      <c r="H235" s="13">
        <v>321.87000039999998</v>
      </c>
      <c r="I235" s="14">
        <v>11</v>
      </c>
      <c r="J235" s="11">
        <f>I235*85</f>
        <v>935</v>
      </c>
      <c r="K235" s="11">
        <f>J235-H235</f>
        <v>613.12999960000002</v>
      </c>
      <c r="L235" s="10">
        <f>G235/F235</f>
        <v>2.4586954984767695E-4</v>
      </c>
      <c r="M235" s="14">
        <f>IFERROR(ROUND(I235/G235,2),0)</f>
        <v>0.05</v>
      </c>
      <c r="N235" s="11">
        <f>IFERROR(H235/G235,0)</f>
        <v>1.3814163107296136</v>
      </c>
      <c r="O235" s="11">
        <f>IFERROR(H235/I235,0)</f>
        <v>29.260909127272726</v>
      </c>
      <c r="P235" s="11">
        <f>IFERROR((J235-H235)/H235,0)</f>
        <v>1.9048994899743383</v>
      </c>
    </row>
    <row r="236" spans="1:16">
      <c r="A236">
        <v>1122047</v>
      </c>
      <c r="B236" t="s">
        <v>162</v>
      </c>
      <c r="C236" t="s">
        <v>3</v>
      </c>
      <c r="D236" t="s">
        <v>5</v>
      </c>
      <c r="E236" s="14">
        <v>15</v>
      </c>
      <c r="F236" s="14">
        <v>582725</v>
      </c>
      <c r="G236" s="14">
        <v>142</v>
      </c>
      <c r="H236" s="13">
        <v>194.80999879999999</v>
      </c>
      <c r="I236" s="14">
        <v>11</v>
      </c>
      <c r="J236" s="11">
        <f>I236*85</f>
        <v>935</v>
      </c>
      <c r="K236" s="11">
        <f>J236-H236</f>
        <v>740.19000119999998</v>
      </c>
      <c r="L236" s="10">
        <f>G236/F236</f>
        <v>2.4368269767042773E-4</v>
      </c>
      <c r="M236" s="14">
        <f>IFERROR(ROUND(I236/G236,2),0)</f>
        <v>0.08</v>
      </c>
      <c r="N236" s="11">
        <f>IFERROR(H236/G236,0)</f>
        <v>1.3719013999999998</v>
      </c>
      <c r="O236" s="11">
        <f>IFERROR(H236/I236,0)</f>
        <v>17.709999890909089</v>
      </c>
      <c r="P236" s="11">
        <f>IFERROR((J236-H236)/H236,0)</f>
        <v>3.799548307373636</v>
      </c>
    </row>
    <row r="237" spans="1:16">
      <c r="A237">
        <v>1122210</v>
      </c>
      <c r="B237" t="s">
        <v>162</v>
      </c>
      <c r="C237" t="s">
        <v>4</v>
      </c>
      <c r="D237" t="s">
        <v>5</v>
      </c>
      <c r="E237" s="14">
        <v>18</v>
      </c>
      <c r="F237" s="14">
        <v>791817</v>
      </c>
      <c r="G237" s="14">
        <v>194</v>
      </c>
      <c r="H237" s="13">
        <v>282.49000100000001</v>
      </c>
      <c r="I237" s="14">
        <v>11</v>
      </c>
      <c r="J237" s="11">
        <f>I237*85</f>
        <v>935</v>
      </c>
      <c r="K237" s="11">
        <f>J237-H237</f>
        <v>652.50999899999999</v>
      </c>
      <c r="L237" s="10">
        <f>G237/F237</f>
        <v>2.4500610620888411E-4</v>
      </c>
      <c r="M237" s="14">
        <f>IFERROR(ROUND(I237/G237,2),0)</f>
        <v>0.06</v>
      </c>
      <c r="N237" s="11">
        <f>IFERROR(H237/G237,0)</f>
        <v>1.4561340257731958</v>
      </c>
      <c r="O237" s="11">
        <f>IFERROR(H237/I237,0)</f>
        <v>25.680909181818183</v>
      </c>
      <c r="P237" s="11">
        <f>IFERROR((J237-H237)/H237,0)</f>
        <v>2.3098516644488241</v>
      </c>
    </row>
    <row r="238" spans="1:16">
      <c r="A238">
        <v>1314298</v>
      </c>
      <c r="B238" t="s">
        <v>162</v>
      </c>
      <c r="C238" t="s">
        <v>0</v>
      </c>
      <c r="D238" t="s">
        <v>1</v>
      </c>
      <c r="E238" s="14">
        <v>102</v>
      </c>
      <c r="F238" s="14">
        <v>49699</v>
      </c>
      <c r="G238" s="14">
        <v>2</v>
      </c>
      <c r="H238" s="13">
        <v>2.6900000569999998</v>
      </c>
      <c r="I238" s="14">
        <v>11</v>
      </c>
      <c r="J238" s="11">
        <f>I238*85</f>
        <v>935</v>
      </c>
      <c r="K238" s="11">
        <f>J238-H238</f>
        <v>932.30999994299998</v>
      </c>
      <c r="L238" s="10">
        <f>G238/F238</f>
        <v>4.0242258395541155E-5</v>
      </c>
      <c r="M238" s="14">
        <f>IFERROR(ROUND(I238/G238,2),0)</f>
        <v>5.5</v>
      </c>
      <c r="N238" s="11">
        <f>IFERROR(H238/G238,0)</f>
        <v>1.3450000284999999</v>
      </c>
      <c r="O238" s="11">
        <f>IFERROR(H238/I238,0)</f>
        <v>0.24454545972727271</v>
      </c>
      <c r="P238" s="11">
        <f>IFERROR((J238-H238)/H238,0)</f>
        <v>346.58363575752151</v>
      </c>
    </row>
    <row r="239" spans="1:16">
      <c r="A239">
        <v>1314316</v>
      </c>
      <c r="B239" t="s">
        <v>162</v>
      </c>
      <c r="C239" t="s">
        <v>2</v>
      </c>
      <c r="D239" t="s">
        <v>1</v>
      </c>
      <c r="E239" s="14">
        <v>105</v>
      </c>
      <c r="F239" s="14">
        <v>211882</v>
      </c>
      <c r="G239" s="14">
        <v>33</v>
      </c>
      <c r="H239" s="13">
        <v>46.649999260000001</v>
      </c>
      <c r="I239" s="14">
        <v>11</v>
      </c>
      <c r="J239" s="11">
        <f>I239*85</f>
        <v>935</v>
      </c>
      <c r="K239" s="11">
        <f>J239-H239</f>
        <v>888.35000074000004</v>
      </c>
      <c r="L239" s="10">
        <f>G239/F239</f>
        <v>1.5574706676357595E-4</v>
      </c>
      <c r="M239" s="14">
        <f>IFERROR(ROUND(I239/G239,2),0)</f>
        <v>0.33</v>
      </c>
      <c r="N239" s="11">
        <f>IFERROR(H239/G239,0)</f>
        <v>1.4136363412121213</v>
      </c>
      <c r="O239" s="11">
        <f>IFERROR(H239/I239,0)</f>
        <v>4.2409090236363634</v>
      </c>
      <c r="P239" s="11">
        <f>IFERROR((J239-H239)/H239,0)</f>
        <v>19.042872772384264</v>
      </c>
    </row>
    <row r="240" spans="1:16">
      <c r="A240">
        <v>1314319</v>
      </c>
      <c r="B240" t="s">
        <v>162</v>
      </c>
      <c r="C240" t="s">
        <v>2</v>
      </c>
      <c r="D240" t="s">
        <v>1</v>
      </c>
      <c r="E240" s="14">
        <v>108</v>
      </c>
      <c r="F240" s="14">
        <v>145324</v>
      </c>
      <c r="G240" s="14">
        <v>14</v>
      </c>
      <c r="H240" s="13">
        <v>19.820000050000001</v>
      </c>
      <c r="I240" s="14">
        <v>11</v>
      </c>
      <c r="J240" s="11">
        <f>I240*85</f>
        <v>935</v>
      </c>
      <c r="K240" s="11">
        <f>J240-H240</f>
        <v>915.17999995000002</v>
      </c>
      <c r="L240" s="10">
        <f>G240/F240</f>
        <v>9.633646197462222E-5</v>
      </c>
      <c r="M240" s="14">
        <f>IFERROR(ROUND(I240/G240,2),0)</f>
        <v>0.79</v>
      </c>
      <c r="N240" s="11">
        <f>IFERROR(H240/G240,0)</f>
        <v>1.4157142892857144</v>
      </c>
      <c r="O240" s="11">
        <f>IFERROR(H240/I240,0)</f>
        <v>1.8018181863636364</v>
      </c>
      <c r="P240" s="11">
        <f>IFERROR((J240-H240)/H240,0)</f>
        <v>46.174571021254863</v>
      </c>
    </row>
    <row r="241" spans="1:16">
      <c r="A241">
        <v>1314320</v>
      </c>
      <c r="B241" t="s">
        <v>162</v>
      </c>
      <c r="C241" t="s">
        <v>2</v>
      </c>
      <c r="D241" t="s">
        <v>1</v>
      </c>
      <c r="E241" s="14">
        <v>109</v>
      </c>
      <c r="F241" s="14">
        <v>106492</v>
      </c>
      <c r="G241" s="14">
        <v>14</v>
      </c>
      <c r="H241" s="13">
        <v>21.260000229999999</v>
      </c>
      <c r="I241" s="14">
        <v>11</v>
      </c>
      <c r="J241" s="11">
        <f>I241*85</f>
        <v>935</v>
      </c>
      <c r="K241" s="11">
        <f>J241-H241</f>
        <v>913.73999977000005</v>
      </c>
      <c r="L241" s="10">
        <f>G241/F241</f>
        <v>1.314652743868084E-4</v>
      </c>
      <c r="M241" s="14">
        <f>IFERROR(ROUND(I241/G241,2),0)</f>
        <v>0.79</v>
      </c>
      <c r="N241" s="11">
        <f>IFERROR(H241/G241,0)</f>
        <v>1.5185714449999999</v>
      </c>
      <c r="O241" s="11">
        <f>IFERROR(H241/I241,0)</f>
        <v>1.9327272936363635</v>
      </c>
      <c r="P241" s="11">
        <f>IFERROR((J241-H241)/H241,0)</f>
        <v>42.979303381221087</v>
      </c>
    </row>
    <row r="242" spans="1:16">
      <c r="A242">
        <v>1314324</v>
      </c>
      <c r="B242" t="s">
        <v>162</v>
      </c>
      <c r="C242" t="s">
        <v>2</v>
      </c>
      <c r="D242" t="s">
        <v>1</v>
      </c>
      <c r="E242" s="14">
        <v>113</v>
      </c>
      <c r="F242" s="14">
        <v>97540</v>
      </c>
      <c r="G242" s="14">
        <v>8</v>
      </c>
      <c r="H242" s="13">
        <v>11.519999500000001</v>
      </c>
      <c r="I242" s="14">
        <v>11</v>
      </c>
      <c r="J242" s="11">
        <f>I242*85</f>
        <v>935</v>
      </c>
      <c r="K242" s="11">
        <f>J242-H242</f>
        <v>923.48000049999996</v>
      </c>
      <c r="L242" s="10">
        <f>G242/F242</f>
        <v>8.2017633791265127E-5</v>
      </c>
      <c r="M242" s="14">
        <f>IFERROR(ROUND(I242/G242,2),0)</f>
        <v>1.38</v>
      </c>
      <c r="N242" s="11">
        <f>IFERROR(H242/G242,0)</f>
        <v>1.4399999375000001</v>
      </c>
      <c r="O242" s="11">
        <f>IFERROR(H242/I242,0)</f>
        <v>1.0472726818181819</v>
      </c>
      <c r="P242" s="11">
        <f>IFERROR((J242-H242)/H242,0)</f>
        <v>80.163197967152684</v>
      </c>
    </row>
    <row r="243" spans="1:16">
      <c r="A243">
        <v>1314330</v>
      </c>
      <c r="B243" t="s">
        <v>162</v>
      </c>
      <c r="C243" t="s">
        <v>3</v>
      </c>
      <c r="D243" t="s">
        <v>1</v>
      </c>
      <c r="E243" s="14">
        <v>104</v>
      </c>
      <c r="F243" s="14">
        <v>17559</v>
      </c>
      <c r="G243" s="14">
        <v>1</v>
      </c>
      <c r="H243" s="13">
        <v>1.4900000099999999</v>
      </c>
      <c r="I243" s="14">
        <v>11</v>
      </c>
      <c r="J243" s="11">
        <f>I243*85</f>
        <v>935</v>
      </c>
      <c r="K243" s="11">
        <f>J243-H243</f>
        <v>933.50999998999998</v>
      </c>
      <c r="L243" s="10">
        <f>G243/F243</f>
        <v>5.6950851415228659E-5</v>
      </c>
      <c r="M243" s="14">
        <f>IFERROR(ROUND(I243/G243,2),0)</f>
        <v>11</v>
      </c>
      <c r="N243" s="11">
        <f>IFERROR(H243/G243,0)</f>
        <v>1.4900000099999999</v>
      </c>
      <c r="O243" s="11">
        <f>IFERROR(H243/I243,0)</f>
        <v>0.13545454636363635</v>
      </c>
      <c r="P243" s="11">
        <f>IFERROR((J243-H243)/H243,0)</f>
        <v>626.51677431196799</v>
      </c>
    </row>
    <row r="244" spans="1:16">
      <c r="A244">
        <v>1314348</v>
      </c>
      <c r="B244" t="s">
        <v>162</v>
      </c>
      <c r="C244" t="s">
        <v>4</v>
      </c>
      <c r="D244" t="s">
        <v>1</v>
      </c>
      <c r="E244" s="14">
        <v>107</v>
      </c>
      <c r="F244" s="14">
        <v>121769</v>
      </c>
      <c r="G244" s="14">
        <v>13</v>
      </c>
      <c r="H244" s="13">
        <v>18.419999959999998</v>
      </c>
      <c r="I244" s="14">
        <v>11</v>
      </c>
      <c r="J244" s="11">
        <f>I244*85</f>
        <v>935</v>
      </c>
      <c r="K244" s="11">
        <f>J244-H244</f>
        <v>916.58000003999996</v>
      </c>
      <c r="L244" s="10">
        <f>G244/F244</f>
        <v>1.0675952007489591E-4</v>
      </c>
      <c r="M244" s="14">
        <f>IFERROR(ROUND(I244/G244,2),0)</f>
        <v>0.85</v>
      </c>
      <c r="N244" s="11">
        <f>IFERROR(H244/G244,0)</f>
        <v>1.4169230738461538</v>
      </c>
      <c r="O244" s="11">
        <f>IFERROR(H244/I244,0)</f>
        <v>1.6745454509090907</v>
      </c>
      <c r="P244" s="11">
        <f>IFERROR((J244-H244)/H244,0)</f>
        <v>49.760043541281313</v>
      </c>
    </row>
    <row r="245" spans="1:16">
      <c r="A245">
        <v>1314351</v>
      </c>
      <c r="B245" t="s">
        <v>162</v>
      </c>
      <c r="C245" t="s">
        <v>4</v>
      </c>
      <c r="D245" t="s">
        <v>1</v>
      </c>
      <c r="E245" s="14">
        <v>110</v>
      </c>
      <c r="F245" s="14">
        <v>188758</v>
      </c>
      <c r="G245" s="14">
        <v>25</v>
      </c>
      <c r="H245" s="13">
        <v>36.600000379999997</v>
      </c>
      <c r="I245" s="14">
        <v>11</v>
      </c>
      <c r="J245" s="11">
        <f>I245*85</f>
        <v>935</v>
      </c>
      <c r="K245" s="11">
        <f>J245-H245</f>
        <v>898.39999962000002</v>
      </c>
      <c r="L245" s="10">
        <f>G245/F245</f>
        <v>1.3244471757488423E-4</v>
      </c>
      <c r="M245" s="14">
        <f>IFERROR(ROUND(I245/G245,2),0)</f>
        <v>0.44</v>
      </c>
      <c r="N245" s="11">
        <f>IFERROR(H245/G245,0)</f>
        <v>1.4640000151999999</v>
      </c>
      <c r="O245" s="11">
        <f>IFERROR(H245/I245,0)</f>
        <v>3.3272727618181817</v>
      </c>
      <c r="P245" s="11">
        <f>IFERROR((J245-H245)/H245,0)</f>
        <v>24.546447822195354</v>
      </c>
    </row>
    <row r="246" spans="1:16">
      <c r="A246">
        <v>1314361</v>
      </c>
      <c r="B246" t="s">
        <v>162</v>
      </c>
      <c r="C246" t="s">
        <v>0</v>
      </c>
      <c r="D246" t="s">
        <v>5</v>
      </c>
      <c r="E246" s="14">
        <v>105</v>
      </c>
      <c r="F246" s="14">
        <v>596831</v>
      </c>
      <c r="G246" s="14">
        <v>86</v>
      </c>
      <c r="H246" s="13">
        <v>120.8799992</v>
      </c>
      <c r="I246" s="14">
        <v>11</v>
      </c>
      <c r="J246" s="11">
        <f>I246*85</f>
        <v>935</v>
      </c>
      <c r="K246" s="11">
        <f>J246-H246</f>
        <v>814.12000079999996</v>
      </c>
      <c r="L246" s="10">
        <f>G246/F246</f>
        <v>1.4409439187977835E-4</v>
      </c>
      <c r="M246" s="14">
        <f>IFERROR(ROUND(I246/G246,2),0)</f>
        <v>0.13</v>
      </c>
      <c r="N246" s="11">
        <f>IFERROR(H246/G246,0)</f>
        <v>1.4055813860465116</v>
      </c>
      <c r="O246" s="11">
        <f>IFERROR(H246/I246,0)</f>
        <v>10.989090836363637</v>
      </c>
      <c r="P246" s="11">
        <f>IFERROR((J246-H246)/H246,0)</f>
        <v>6.7349437970545578</v>
      </c>
    </row>
    <row r="247" spans="1:16">
      <c r="A247">
        <v>1314402</v>
      </c>
      <c r="B247" t="s">
        <v>162</v>
      </c>
      <c r="C247" t="s">
        <v>4</v>
      </c>
      <c r="D247" t="s">
        <v>5</v>
      </c>
      <c r="E247" s="14">
        <v>101</v>
      </c>
      <c r="F247" s="14">
        <v>589270</v>
      </c>
      <c r="G247" s="14">
        <v>107</v>
      </c>
      <c r="H247" s="13">
        <v>158.05000229999999</v>
      </c>
      <c r="I247" s="14">
        <v>11</v>
      </c>
      <c r="J247" s="11">
        <f>I247*85</f>
        <v>935</v>
      </c>
      <c r="K247" s="11">
        <f>J247-H247</f>
        <v>776.94999770000004</v>
      </c>
      <c r="L247" s="10">
        <f>G247/F247</f>
        <v>1.8158059972508357E-4</v>
      </c>
      <c r="M247" s="14">
        <f>IFERROR(ROUND(I247/G247,2),0)</f>
        <v>0.1</v>
      </c>
      <c r="N247" s="11">
        <f>IFERROR(H247/G247,0)</f>
        <v>1.4771028252336447</v>
      </c>
      <c r="O247" s="11">
        <f>IFERROR(H247/I247,0)</f>
        <v>14.368182027272725</v>
      </c>
      <c r="P247" s="11">
        <f>IFERROR((J247-H247)/H247,0)</f>
        <v>4.9158493286526204</v>
      </c>
    </row>
    <row r="248" spans="1:16">
      <c r="A248">
        <v>1121107</v>
      </c>
      <c r="B248" t="s">
        <v>162</v>
      </c>
      <c r="C248" t="s">
        <v>0</v>
      </c>
      <c r="D248" t="s">
        <v>1</v>
      </c>
      <c r="E248" s="14">
        <v>16</v>
      </c>
      <c r="F248" s="14">
        <v>32616</v>
      </c>
      <c r="G248" s="14">
        <v>1</v>
      </c>
      <c r="H248" s="13">
        <v>1.539999962</v>
      </c>
      <c r="I248" s="14">
        <v>10</v>
      </c>
      <c r="J248" s="11">
        <f>I248*85</f>
        <v>850</v>
      </c>
      <c r="K248" s="11">
        <f>J248-H248</f>
        <v>848.46000003799998</v>
      </c>
      <c r="L248" s="10">
        <f>G248/F248</f>
        <v>3.0659798871719399E-5</v>
      </c>
      <c r="M248" s="14">
        <f>IFERROR(ROUND(I248/G248,2),0)</f>
        <v>10</v>
      </c>
      <c r="N248" s="11">
        <f>IFERROR(H248/G248,0)</f>
        <v>1.539999962</v>
      </c>
      <c r="O248" s="11">
        <f>IFERROR(H248/I248,0)</f>
        <v>0.15399999619999999</v>
      </c>
      <c r="P248" s="11">
        <f>IFERROR((J248-H248)/H248,0)</f>
        <v>550.94806556754963</v>
      </c>
    </row>
    <row r="249" spans="1:16">
      <c r="A249">
        <v>1121117</v>
      </c>
      <c r="B249" t="s">
        <v>162</v>
      </c>
      <c r="C249" t="s">
        <v>0</v>
      </c>
      <c r="D249" t="s">
        <v>1</v>
      </c>
      <c r="E249" s="14">
        <v>19</v>
      </c>
      <c r="F249" s="14">
        <v>98759</v>
      </c>
      <c r="G249" s="14">
        <v>15</v>
      </c>
      <c r="H249" s="13">
        <v>26.569999459999998</v>
      </c>
      <c r="I249" s="14">
        <v>10</v>
      </c>
      <c r="J249" s="11">
        <f>I249*85</f>
        <v>850</v>
      </c>
      <c r="K249" s="11">
        <f>J249-H249</f>
        <v>823.43000054000004</v>
      </c>
      <c r="L249" s="10">
        <f>G249/F249</f>
        <v>1.5188489150355918E-4</v>
      </c>
      <c r="M249" s="14">
        <f>IFERROR(ROUND(I249/G249,2),0)</f>
        <v>0.67</v>
      </c>
      <c r="N249" s="11">
        <f>IFERROR(H249/G249,0)</f>
        <v>1.7713332973333331</v>
      </c>
      <c r="O249" s="11">
        <f>IFERROR(H249/I249,0)</f>
        <v>2.656999946</v>
      </c>
      <c r="P249" s="11">
        <f>IFERROR((J249-H249)/H249,0)</f>
        <v>30.990967906478087</v>
      </c>
    </row>
    <row r="250" spans="1:16">
      <c r="A250">
        <v>1121126</v>
      </c>
      <c r="B250" t="s">
        <v>162</v>
      </c>
      <c r="C250" t="s">
        <v>0</v>
      </c>
      <c r="D250" t="s">
        <v>1</v>
      </c>
      <c r="E250" s="14">
        <v>20</v>
      </c>
      <c r="F250" s="14">
        <v>45923</v>
      </c>
      <c r="G250" s="14">
        <v>5</v>
      </c>
      <c r="H250" s="13">
        <v>7.2200001479999996</v>
      </c>
      <c r="I250" s="14">
        <v>10</v>
      </c>
      <c r="J250" s="11">
        <f>I250*85</f>
        <v>850</v>
      </c>
      <c r="K250" s="11">
        <f>J250-H250</f>
        <v>842.77999985199995</v>
      </c>
      <c r="L250" s="10">
        <f>G250/F250</f>
        <v>1.0887790431809768E-4</v>
      </c>
      <c r="M250" s="14">
        <f>IFERROR(ROUND(I250/G250,2),0)</f>
        <v>2</v>
      </c>
      <c r="N250" s="11">
        <f>IFERROR(H250/G250,0)</f>
        <v>1.4440000296</v>
      </c>
      <c r="O250" s="11">
        <f>IFERROR(H250/I250,0)</f>
        <v>0.72200001479999998</v>
      </c>
      <c r="P250" s="11">
        <f>IFERROR((J250-H250)/H250,0)</f>
        <v>116.72852944268388</v>
      </c>
    </row>
    <row r="251" spans="1:16">
      <c r="A251">
        <v>1121127</v>
      </c>
      <c r="B251" t="s">
        <v>162</v>
      </c>
      <c r="C251" t="s">
        <v>0</v>
      </c>
      <c r="D251" t="s">
        <v>1</v>
      </c>
      <c r="E251" s="14">
        <v>21</v>
      </c>
      <c r="F251" s="14">
        <v>40873</v>
      </c>
      <c r="G251" s="14">
        <v>4</v>
      </c>
      <c r="H251" s="13">
        <v>7.8999999760000001</v>
      </c>
      <c r="I251" s="14">
        <v>10</v>
      </c>
      <c r="J251" s="11">
        <f>I251*85</f>
        <v>850</v>
      </c>
      <c r="K251" s="11">
        <f>J251-H251</f>
        <v>842.100000024</v>
      </c>
      <c r="L251" s="10">
        <f>G251/F251</f>
        <v>9.7864115675384727E-5</v>
      </c>
      <c r="M251" s="14">
        <f>IFERROR(ROUND(I251/G251,2),0)</f>
        <v>2.5</v>
      </c>
      <c r="N251" s="11">
        <f>IFERROR(H251/G251,0)</f>
        <v>1.974999994</v>
      </c>
      <c r="O251" s="11">
        <f>IFERROR(H251/I251,0)</f>
        <v>0.78999999760000006</v>
      </c>
      <c r="P251" s="11">
        <f>IFERROR((J251-H251)/H251,0)</f>
        <v>106.59493703573145</v>
      </c>
    </row>
    <row r="252" spans="1:16">
      <c r="A252">
        <v>1121142</v>
      </c>
      <c r="B252" t="s">
        <v>162</v>
      </c>
      <c r="C252" t="s">
        <v>0</v>
      </c>
      <c r="D252" t="s">
        <v>1</v>
      </c>
      <c r="E252" s="14">
        <v>23</v>
      </c>
      <c r="F252" s="14">
        <v>26890</v>
      </c>
      <c r="G252" s="14">
        <v>2</v>
      </c>
      <c r="H252" s="13">
        <v>3.2400000100000002</v>
      </c>
      <c r="I252" s="14">
        <v>10</v>
      </c>
      <c r="J252" s="11">
        <f>I252*85</f>
        <v>850</v>
      </c>
      <c r="K252" s="11">
        <f>J252-H252</f>
        <v>846.75999998999998</v>
      </c>
      <c r="L252" s="10">
        <f>G252/F252</f>
        <v>7.4377091855708447E-5</v>
      </c>
      <c r="M252" s="14">
        <f>IFERROR(ROUND(I252/G252,2),0)</f>
        <v>5</v>
      </c>
      <c r="N252" s="11">
        <f>IFERROR(H252/G252,0)</f>
        <v>1.6200000050000001</v>
      </c>
      <c r="O252" s="11">
        <f>IFERROR(H252/I252,0)</f>
        <v>0.32400000100000004</v>
      </c>
      <c r="P252" s="11">
        <f>IFERROR((J252-H252)/H252,0)</f>
        <v>261.3456782026368</v>
      </c>
    </row>
    <row r="253" spans="1:16">
      <c r="A253">
        <v>1121193</v>
      </c>
      <c r="B253" t="s">
        <v>162</v>
      </c>
      <c r="C253" t="s">
        <v>0</v>
      </c>
      <c r="D253" t="s">
        <v>1</v>
      </c>
      <c r="E253" s="14">
        <v>28</v>
      </c>
      <c r="F253" s="14">
        <v>57781</v>
      </c>
      <c r="G253" s="14">
        <v>5</v>
      </c>
      <c r="H253" s="13">
        <v>7.8000000719999996</v>
      </c>
      <c r="I253" s="14">
        <v>10</v>
      </c>
      <c r="J253" s="11">
        <f>I253*85</f>
        <v>850</v>
      </c>
      <c r="K253" s="11">
        <f>J253-H253</f>
        <v>842.19999992800001</v>
      </c>
      <c r="L253" s="10">
        <f>G253/F253</f>
        <v>8.6533635624167117E-5</v>
      </c>
      <c r="M253" s="14">
        <f>IFERROR(ROUND(I253/G253,2),0)</f>
        <v>2</v>
      </c>
      <c r="N253" s="11">
        <f>IFERROR(H253/G253,0)</f>
        <v>1.5600000143999999</v>
      </c>
      <c r="O253" s="11">
        <f>IFERROR(H253/I253,0)</f>
        <v>0.78000000719999996</v>
      </c>
      <c r="P253" s="11">
        <f>IFERROR((J253-H253)/H253,0)</f>
        <v>107.97435796844184</v>
      </c>
    </row>
    <row r="254" spans="1:16">
      <c r="A254">
        <v>1121231</v>
      </c>
      <c r="B254" t="s">
        <v>162</v>
      </c>
      <c r="C254" t="s">
        <v>0</v>
      </c>
      <c r="D254" t="s">
        <v>1</v>
      </c>
      <c r="E254" s="14">
        <v>32</v>
      </c>
      <c r="F254" s="14">
        <v>22256</v>
      </c>
      <c r="G254" s="14">
        <v>1</v>
      </c>
      <c r="H254" s="13">
        <v>1.6599999670000001</v>
      </c>
      <c r="I254" s="14">
        <v>10</v>
      </c>
      <c r="J254" s="11">
        <f>I254*85</f>
        <v>850</v>
      </c>
      <c r="K254" s="11">
        <f>J254-H254</f>
        <v>848.34000003300002</v>
      </c>
      <c r="L254" s="10">
        <f>G254/F254</f>
        <v>4.4931703810208485E-5</v>
      </c>
      <c r="M254" s="14">
        <f>IFERROR(ROUND(I254/G254,2),0)</f>
        <v>10</v>
      </c>
      <c r="N254" s="11">
        <f>IFERROR(H254/G254,0)</f>
        <v>1.6599999670000001</v>
      </c>
      <c r="O254" s="11">
        <f>IFERROR(H254/I254,0)</f>
        <v>0.16599999670000001</v>
      </c>
      <c r="P254" s="11">
        <f>IFERROR((J254-H254)/H254,0)</f>
        <v>511.04820295035586</v>
      </c>
    </row>
    <row r="255" spans="1:16">
      <c r="A255">
        <v>1121243</v>
      </c>
      <c r="B255" t="s">
        <v>162</v>
      </c>
      <c r="C255" t="s">
        <v>0</v>
      </c>
      <c r="D255" t="s">
        <v>1</v>
      </c>
      <c r="E255" s="14">
        <v>36</v>
      </c>
      <c r="F255" s="14">
        <v>53520</v>
      </c>
      <c r="G255" s="14">
        <v>6</v>
      </c>
      <c r="H255" s="13">
        <v>9.2299998999999993</v>
      </c>
      <c r="I255" s="14">
        <v>10</v>
      </c>
      <c r="J255" s="11">
        <f>I255*85</f>
        <v>850</v>
      </c>
      <c r="K255" s="11">
        <f>J255-H255</f>
        <v>840.77000009999995</v>
      </c>
      <c r="L255" s="10">
        <f>G255/F255</f>
        <v>1.1210762331838565E-4</v>
      </c>
      <c r="M255" s="14">
        <f>IFERROR(ROUND(I255/G255,2),0)</f>
        <v>1.67</v>
      </c>
      <c r="N255" s="11">
        <f>IFERROR(H255/G255,0)</f>
        <v>1.5383333166666666</v>
      </c>
      <c r="O255" s="11">
        <f>IFERROR(H255/I255,0)</f>
        <v>0.92299998999999988</v>
      </c>
      <c r="P255" s="11">
        <f>IFERROR((J255-H255)/H255,0)</f>
        <v>91.091008581701075</v>
      </c>
    </row>
    <row r="256" spans="1:16">
      <c r="A256">
        <v>1121251</v>
      </c>
      <c r="B256" t="s">
        <v>162</v>
      </c>
      <c r="C256" t="s">
        <v>0</v>
      </c>
      <c r="D256" t="s">
        <v>1</v>
      </c>
      <c r="E256" s="14">
        <v>63</v>
      </c>
      <c r="F256" s="14">
        <v>212175</v>
      </c>
      <c r="G256" s="14">
        <v>22</v>
      </c>
      <c r="H256" s="13">
        <v>38.589999679999998</v>
      </c>
      <c r="I256" s="14">
        <v>10</v>
      </c>
      <c r="J256" s="11">
        <f>I256*85</f>
        <v>850</v>
      </c>
      <c r="K256" s="11">
        <f>J256-H256</f>
        <v>811.41000031999999</v>
      </c>
      <c r="L256" s="10">
        <f>G256/F256</f>
        <v>1.0368799340167315E-4</v>
      </c>
      <c r="M256" s="14">
        <f>IFERROR(ROUND(I256/G256,2),0)</f>
        <v>0.45</v>
      </c>
      <c r="N256" s="11">
        <f>IFERROR(H256/G256,0)</f>
        <v>1.7540908945454545</v>
      </c>
      <c r="O256" s="11">
        <f>IFERROR(H256/I256,0)</f>
        <v>3.858999968</v>
      </c>
      <c r="P256" s="11">
        <f>IFERROR((J256-H256)/H256,0)</f>
        <v>21.026431900711536</v>
      </c>
    </row>
    <row r="257" spans="1:16">
      <c r="A257">
        <v>1121303</v>
      </c>
      <c r="B257" t="s">
        <v>162</v>
      </c>
      <c r="C257" t="s">
        <v>2</v>
      </c>
      <c r="D257" t="s">
        <v>1</v>
      </c>
      <c r="E257" s="14">
        <v>16</v>
      </c>
      <c r="F257" s="14">
        <v>84494</v>
      </c>
      <c r="G257" s="14">
        <v>7</v>
      </c>
      <c r="H257" s="13">
        <v>12.57000017</v>
      </c>
      <c r="I257" s="14">
        <v>10</v>
      </c>
      <c r="J257" s="11">
        <f>I257*85</f>
        <v>850</v>
      </c>
      <c r="K257" s="11">
        <f>J257-H257</f>
        <v>837.42999983000004</v>
      </c>
      <c r="L257" s="10">
        <f>G257/F257</f>
        <v>8.284611925107108E-5</v>
      </c>
      <c r="M257" s="14">
        <f>IFERROR(ROUND(I257/G257,2),0)</f>
        <v>1.43</v>
      </c>
      <c r="N257" s="11">
        <f>IFERROR(H257/G257,0)</f>
        <v>1.7957143099999999</v>
      </c>
      <c r="O257" s="11">
        <f>IFERROR(H257/I257,0)</f>
        <v>1.257000017</v>
      </c>
      <c r="P257" s="11">
        <f>IFERROR((J257-H257)/H257,0)</f>
        <v>66.621319690085571</v>
      </c>
    </row>
    <row r="258" spans="1:16">
      <c r="A258">
        <v>1121304</v>
      </c>
      <c r="B258" t="s">
        <v>162</v>
      </c>
      <c r="C258" t="s">
        <v>2</v>
      </c>
      <c r="D258" t="s">
        <v>1</v>
      </c>
      <c r="E258" s="14">
        <v>16</v>
      </c>
      <c r="F258" s="14">
        <v>94257</v>
      </c>
      <c r="G258" s="14">
        <v>7</v>
      </c>
      <c r="H258" s="13">
        <v>12.580000399999999</v>
      </c>
      <c r="I258" s="14">
        <v>10</v>
      </c>
      <c r="J258" s="11">
        <f>I258*85</f>
        <v>850</v>
      </c>
      <c r="K258" s="11">
        <f>J258-H258</f>
        <v>837.41999959999998</v>
      </c>
      <c r="L258" s="10">
        <f>G258/F258</f>
        <v>7.4265041323190849E-5</v>
      </c>
      <c r="M258" s="14">
        <f>IFERROR(ROUND(I258/G258,2),0)</f>
        <v>1.43</v>
      </c>
      <c r="N258" s="11">
        <f>IFERROR(H258/G258,0)</f>
        <v>1.7971429142857143</v>
      </c>
      <c r="O258" s="11">
        <f>IFERROR(H258/I258,0)</f>
        <v>1.25800004</v>
      </c>
      <c r="P258" s="11">
        <f>IFERROR((J258-H258)/H258,0)</f>
        <v>66.567565419155315</v>
      </c>
    </row>
    <row r="259" spans="1:16">
      <c r="A259">
        <v>1121312</v>
      </c>
      <c r="B259" t="s">
        <v>162</v>
      </c>
      <c r="C259" t="s">
        <v>2</v>
      </c>
      <c r="D259" t="s">
        <v>1</v>
      </c>
      <c r="E259" s="14">
        <v>18</v>
      </c>
      <c r="F259" s="14">
        <v>102525</v>
      </c>
      <c r="G259" s="14">
        <v>13</v>
      </c>
      <c r="H259" s="13">
        <v>20.299999830000001</v>
      </c>
      <c r="I259" s="14">
        <v>10</v>
      </c>
      <c r="J259" s="11">
        <f>I259*85</f>
        <v>850</v>
      </c>
      <c r="K259" s="11">
        <f>J259-H259</f>
        <v>829.70000016999995</v>
      </c>
      <c r="L259" s="10">
        <f>G259/F259</f>
        <v>1.2679834186783711E-4</v>
      </c>
      <c r="M259" s="14">
        <f>IFERROR(ROUND(I259/G259,2),0)</f>
        <v>0.77</v>
      </c>
      <c r="N259" s="11">
        <f>IFERROR(H259/G259,0)</f>
        <v>1.5615384484615384</v>
      </c>
      <c r="O259" s="11">
        <f>IFERROR(H259/I259,0)</f>
        <v>2.0299999830000002</v>
      </c>
      <c r="P259" s="11">
        <f>IFERROR((J259-H259)/H259,0)</f>
        <v>40.871921532917568</v>
      </c>
    </row>
    <row r="260" spans="1:16">
      <c r="A260">
        <v>1121317</v>
      </c>
      <c r="B260" t="s">
        <v>162</v>
      </c>
      <c r="C260" t="s">
        <v>2</v>
      </c>
      <c r="D260" t="s">
        <v>1</v>
      </c>
      <c r="E260" s="14">
        <v>19</v>
      </c>
      <c r="F260" s="14">
        <v>76355</v>
      </c>
      <c r="G260" s="14">
        <v>9</v>
      </c>
      <c r="H260" s="13">
        <v>14.62999988</v>
      </c>
      <c r="I260" s="14">
        <v>10</v>
      </c>
      <c r="J260" s="11">
        <f>I260*85</f>
        <v>850</v>
      </c>
      <c r="K260" s="11">
        <f>J260-H260</f>
        <v>835.37000011999999</v>
      </c>
      <c r="L260" s="10">
        <f>G260/F260</f>
        <v>1.1787047344640168E-4</v>
      </c>
      <c r="M260" s="14">
        <f>IFERROR(ROUND(I260/G260,2),0)</f>
        <v>1.1100000000000001</v>
      </c>
      <c r="N260" s="11">
        <f>IFERROR(H260/G260,0)</f>
        <v>1.6255555422222221</v>
      </c>
      <c r="O260" s="11">
        <f>IFERROR(H260/I260,0)</f>
        <v>1.462999988</v>
      </c>
      <c r="P260" s="11">
        <f>IFERROR((J260-H260)/H260,0)</f>
        <v>57.099795418453553</v>
      </c>
    </row>
    <row r="261" spans="1:16">
      <c r="A261">
        <v>1121333</v>
      </c>
      <c r="B261" t="s">
        <v>162</v>
      </c>
      <c r="C261" t="s">
        <v>2</v>
      </c>
      <c r="D261" t="s">
        <v>1</v>
      </c>
      <c r="E261" s="14">
        <v>22</v>
      </c>
      <c r="F261" s="14">
        <v>88970</v>
      </c>
      <c r="G261" s="14">
        <v>10</v>
      </c>
      <c r="H261" s="13">
        <v>14.830000399999999</v>
      </c>
      <c r="I261" s="14">
        <v>10</v>
      </c>
      <c r="J261" s="11">
        <f>I261*85</f>
        <v>850</v>
      </c>
      <c r="K261" s="11">
        <f>J261-H261</f>
        <v>835.16999959999998</v>
      </c>
      <c r="L261" s="10">
        <f>G261/F261</f>
        <v>1.1239743733842868E-4</v>
      </c>
      <c r="M261" s="14">
        <f>IFERROR(ROUND(I261/G261,2),0)</f>
        <v>1</v>
      </c>
      <c r="N261" s="11">
        <f>IFERROR(H261/G261,0)</f>
        <v>1.4830000399999999</v>
      </c>
      <c r="O261" s="11">
        <f>IFERROR(H261/I261,0)</f>
        <v>1.4830000399999999</v>
      </c>
      <c r="P261" s="11">
        <f>IFERROR((J261-H261)/H261,0)</f>
        <v>56.316249296931915</v>
      </c>
    </row>
    <row r="262" spans="1:16">
      <c r="A262">
        <v>1121334</v>
      </c>
      <c r="B262" t="s">
        <v>162</v>
      </c>
      <c r="C262" t="s">
        <v>2</v>
      </c>
      <c r="D262" t="s">
        <v>1</v>
      </c>
      <c r="E262" s="14">
        <v>22</v>
      </c>
      <c r="F262" s="14">
        <v>108362</v>
      </c>
      <c r="G262" s="14">
        <v>13</v>
      </c>
      <c r="H262" s="13">
        <v>22.42999983</v>
      </c>
      <c r="I262" s="14">
        <v>10</v>
      </c>
      <c r="J262" s="11">
        <f>I262*85</f>
        <v>850</v>
      </c>
      <c r="K262" s="11">
        <f>J262-H262</f>
        <v>827.57000016999996</v>
      </c>
      <c r="L262" s="10">
        <f>G262/F262</f>
        <v>1.1996825455417951E-4</v>
      </c>
      <c r="M262" s="14">
        <f>IFERROR(ROUND(I262/G262,2),0)</f>
        <v>0.77</v>
      </c>
      <c r="N262" s="11">
        <f>IFERROR(H262/G262,0)</f>
        <v>1.7253846023076922</v>
      </c>
      <c r="O262" s="11">
        <f>IFERROR(H262/I262,0)</f>
        <v>2.2429999829999998</v>
      </c>
      <c r="P262" s="11">
        <f>IFERROR((J262-H262)/H262,0)</f>
        <v>36.89567572190213</v>
      </c>
    </row>
    <row r="263" spans="1:16">
      <c r="A263">
        <v>1121340</v>
      </c>
      <c r="B263" t="s">
        <v>162</v>
      </c>
      <c r="C263" t="s">
        <v>2</v>
      </c>
      <c r="D263" t="s">
        <v>1</v>
      </c>
      <c r="E263" s="14">
        <v>23</v>
      </c>
      <c r="F263" s="14">
        <v>140147</v>
      </c>
      <c r="G263" s="14">
        <v>24</v>
      </c>
      <c r="H263" s="13">
        <v>42.080000159999997</v>
      </c>
      <c r="I263" s="14">
        <v>10</v>
      </c>
      <c r="J263" s="11">
        <f>I263*85</f>
        <v>850</v>
      </c>
      <c r="K263" s="11">
        <f>J263-H263</f>
        <v>807.91999983999995</v>
      </c>
      <c r="L263" s="10">
        <f>G263/F263</f>
        <v>1.7124876023032957E-4</v>
      </c>
      <c r="M263" s="14">
        <f>IFERROR(ROUND(I263/G263,2),0)</f>
        <v>0.42</v>
      </c>
      <c r="N263" s="11">
        <f>IFERROR(H263/G263,0)</f>
        <v>1.75333334</v>
      </c>
      <c r="O263" s="11">
        <f>IFERROR(H263/I263,0)</f>
        <v>4.2080000159999997</v>
      </c>
      <c r="P263" s="11">
        <f>IFERROR((J263-H263)/H263,0)</f>
        <v>19.19961969505848</v>
      </c>
    </row>
    <row r="264" spans="1:16">
      <c r="A264">
        <v>1121353</v>
      </c>
      <c r="B264" t="s">
        <v>162</v>
      </c>
      <c r="C264" t="s">
        <v>2</v>
      </c>
      <c r="D264" t="s">
        <v>1</v>
      </c>
      <c r="E264" s="14">
        <v>25</v>
      </c>
      <c r="F264" s="14">
        <v>28194</v>
      </c>
      <c r="G264" s="14">
        <v>3</v>
      </c>
      <c r="H264" s="13">
        <v>3.7099999189999999</v>
      </c>
      <c r="I264" s="14">
        <v>10</v>
      </c>
      <c r="J264" s="11">
        <f>I264*85</f>
        <v>850</v>
      </c>
      <c r="K264" s="11">
        <f>J264-H264</f>
        <v>846.29000008100002</v>
      </c>
      <c r="L264" s="10">
        <f>G264/F264</f>
        <v>1.0640561821664184E-4</v>
      </c>
      <c r="M264" s="14">
        <f>IFERROR(ROUND(I264/G264,2),0)</f>
        <v>3.33</v>
      </c>
      <c r="N264" s="11">
        <f>IFERROR(H264/G264,0)</f>
        <v>1.2366666396666666</v>
      </c>
      <c r="O264" s="11">
        <f>IFERROR(H264/I264,0)</f>
        <v>0.37099999189999999</v>
      </c>
      <c r="P264" s="11">
        <f>IFERROR((J264-H264)/H264,0)</f>
        <v>228.11051713152344</v>
      </c>
    </row>
    <row r="265" spans="1:16">
      <c r="A265">
        <v>1121355</v>
      </c>
      <c r="B265" t="s">
        <v>162</v>
      </c>
      <c r="C265" t="s">
        <v>2</v>
      </c>
      <c r="D265" t="s">
        <v>1</v>
      </c>
      <c r="E265" s="14">
        <v>26</v>
      </c>
      <c r="F265" s="14">
        <v>99961</v>
      </c>
      <c r="G265" s="14">
        <v>14</v>
      </c>
      <c r="H265" s="13">
        <v>23.209999799999999</v>
      </c>
      <c r="I265" s="14">
        <v>10</v>
      </c>
      <c r="J265" s="11">
        <f>I265*85</f>
        <v>850</v>
      </c>
      <c r="K265" s="11">
        <f>J265-H265</f>
        <v>826.79000020000001</v>
      </c>
      <c r="L265" s="10">
        <f>G265/F265</f>
        <v>1.4005462130230791E-4</v>
      </c>
      <c r="M265" s="14">
        <f>IFERROR(ROUND(I265/G265,2),0)</f>
        <v>0.71</v>
      </c>
      <c r="N265" s="11">
        <f>IFERROR(H265/G265,0)</f>
        <v>1.6578571285714285</v>
      </c>
      <c r="O265" s="11">
        <f>IFERROR(H265/I265,0)</f>
        <v>2.3209999799999999</v>
      </c>
      <c r="P265" s="11">
        <f>IFERROR((J265-H265)/H265,0)</f>
        <v>35.622145942457095</v>
      </c>
    </row>
    <row r="266" spans="1:16">
      <c r="A266">
        <v>1121398</v>
      </c>
      <c r="B266" t="s">
        <v>162</v>
      </c>
      <c r="C266" t="s">
        <v>2</v>
      </c>
      <c r="D266" t="s">
        <v>1</v>
      </c>
      <c r="E266" s="14">
        <v>36</v>
      </c>
      <c r="F266" s="14">
        <v>35088</v>
      </c>
      <c r="G266" s="14">
        <v>5</v>
      </c>
      <c r="H266" s="13">
        <v>8.8000000719999996</v>
      </c>
      <c r="I266" s="14">
        <v>10</v>
      </c>
      <c r="J266" s="11">
        <f>I266*85</f>
        <v>850</v>
      </c>
      <c r="K266" s="11">
        <f>J266-H266</f>
        <v>841.19999992800001</v>
      </c>
      <c r="L266" s="10">
        <f>G266/F266</f>
        <v>1.4249886000911993E-4</v>
      </c>
      <c r="M266" s="14">
        <f>IFERROR(ROUND(I266/G266,2),0)</f>
        <v>2</v>
      </c>
      <c r="N266" s="11">
        <f>IFERROR(H266/G266,0)</f>
        <v>1.7600000143999999</v>
      </c>
      <c r="O266" s="11">
        <f>IFERROR(H266/I266,0)</f>
        <v>0.88000000719999993</v>
      </c>
      <c r="P266" s="11">
        <f>IFERROR((J266-H266)/H266,0)</f>
        <v>95.590908300619844</v>
      </c>
    </row>
    <row r="267" spans="1:16">
      <c r="A267">
        <v>1121410</v>
      </c>
      <c r="B267" t="s">
        <v>162</v>
      </c>
      <c r="C267" t="s">
        <v>2</v>
      </c>
      <c r="D267" t="s">
        <v>1</v>
      </c>
      <c r="E267" s="14">
        <v>64</v>
      </c>
      <c r="F267" s="14">
        <v>24992</v>
      </c>
      <c r="G267" s="14">
        <v>2</v>
      </c>
      <c r="H267" s="13">
        <v>3.1900000569999998</v>
      </c>
      <c r="I267" s="14">
        <v>10</v>
      </c>
      <c r="J267" s="11">
        <f>I267*85</f>
        <v>850</v>
      </c>
      <c r="K267" s="11">
        <f>J267-H267</f>
        <v>846.80999994299998</v>
      </c>
      <c r="L267" s="10">
        <f>G267/F267</f>
        <v>8.0025608194622276E-5</v>
      </c>
      <c r="M267" s="14">
        <f>IFERROR(ROUND(I267/G267,2),0)</f>
        <v>5</v>
      </c>
      <c r="N267" s="11">
        <f>IFERROR(H267/G267,0)</f>
        <v>1.5950000284999999</v>
      </c>
      <c r="O267" s="11">
        <f>IFERROR(H267/I267,0)</f>
        <v>0.31900000569999998</v>
      </c>
      <c r="P267" s="11">
        <f>IFERROR((J267-H267)/H267,0)</f>
        <v>265.45767548962777</v>
      </c>
    </row>
    <row r="268" spans="1:16">
      <c r="A268">
        <v>1121413</v>
      </c>
      <c r="B268" t="s">
        <v>162</v>
      </c>
      <c r="C268" t="s">
        <v>2</v>
      </c>
      <c r="D268" t="s">
        <v>1</v>
      </c>
      <c r="E268" s="14">
        <v>64</v>
      </c>
      <c r="F268" s="14">
        <v>65060</v>
      </c>
      <c r="G268" s="14">
        <v>7</v>
      </c>
      <c r="H268" s="13">
        <v>14.520000100000001</v>
      </c>
      <c r="I268" s="14">
        <v>10</v>
      </c>
      <c r="J268" s="11">
        <f>I268*85</f>
        <v>850</v>
      </c>
      <c r="K268" s="11">
        <f>J268-H268</f>
        <v>835.47999990000005</v>
      </c>
      <c r="L268" s="10">
        <f>G268/F268</f>
        <v>1.0759299108515216E-4</v>
      </c>
      <c r="M268" s="14">
        <f>IFERROR(ROUND(I268/G268,2),0)</f>
        <v>1.43</v>
      </c>
      <c r="N268" s="11">
        <f>IFERROR(H268/G268,0)</f>
        <v>2.0742857285714287</v>
      </c>
      <c r="O268" s="11">
        <f>IFERROR(H268/I268,0)</f>
        <v>1.4520000100000001</v>
      </c>
      <c r="P268" s="11">
        <f>IFERROR((J268-H268)/H268,0)</f>
        <v>57.539944500413604</v>
      </c>
    </row>
    <row r="269" spans="1:16">
      <c r="A269">
        <v>1121414</v>
      </c>
      <c r="B269" t="s">
        <v>162</v>
      </c>
      <c r="C269" t="s">
        <v>2</v>
      </c>
      <c r="D269" t="s">
        <v>1</v>
      </c>
      <c r="E269" s="14">
        <v>64</v>
      </c>
      <c r="F269" s="14">
        <v>133316</v>
      </c>
      <c r="G269" s="14">
        <v>21</v>
      </c>
      <c r="H269" s="13">
        <v>36.170000549999997</v>
      </c>
      <c r="I269" s="14">
        <v>10</v>
      </c>
      <c r="J269" s="11">
        <f>I269*85</f>
        <v>850</v>
      </c>
      <c r="K269" s="11">
        <f>J269-H269</f>
        <v>813.82999945000006</v>
      </c>
      <c r="L269" s="10">
        <f>G269/F269</f>
        <v>1.5752047766209607E-4</v>
      </c>
      <c r="M269" s="14">
        <f>IFERROR(ROUND(I269/G269,2),0)</f>
        <v>0.48</v>
      </c>
      <c r="N269" s="11">
        <f>IFERROR(H269/G269,0)</f>
        <v>1.7223809785714284</v>
      </c>
      <c r="O269" s="11">
        <f>IFERROR(H269/I269,0)</f>
        <v>3.6170000549999997</v>
      </c>
      <c r="P269" s="11">
        <f>IFERROR((J269-H269)/H269,0)</f>
        <v>22.500137878764839</v>
      </c>
    </row>
    <row r="270" spans="1:16">
      <c r="A270">
        <v>1121428</v>
      </c>
      <c r="B270" t="s">
        <v>162</v>
      </c>
      <c r="C270" t="s">
        <v>2</v>
      </c>
      <c r="D270" t="s">
        <v>1</v>
      </c>
      <c r="E270" s="14">
        <v>7</v>
      </c>
      <c r="F270" s="14">
        <v>131232</v>
      </c>
      <c r="G270" s="14">
        <v>16</v>
      </c>
      <c r="H270" s="13">
        <v>29.53999937</v>
      </c>
      <c r="I270" s="14">
        <v>10</v>
      </c>
      <c r="J270" s="11">
        <f>I270*85</f>
        <v>850</v>
      </c>
      <c r="K270" s="11">
        <f>J270-H270</f>
        <v>820.46000062999997</v>
      </c>
      <c r="L270" s="10">
        <f>G270/F270</f>
        <v>1.21921482565228E-4</v>
      </c>
      <c r="M270" s="14">
        <f>IFERROR(ROUND(I270/G270,2),0)</f>
        <v>0.63</v>
      </c>
      <c r="N270" s="11">
        <f>IFERROR(H270/G270,0)</f>
        <v>1.846249960625</v>
      </c>
      <c r="O270" s="11">
        <f>IFERROR(H270/I270,0)</f>
        <v>2.9539999369999999</v>
      </c>
      <c r="P270" s="11">
        <f>IFERROR((J270-H270)/H270,0)</f>
        <v>27.774543606227571</v>
      </c>
    </row>
    <row r="271" spans="1:16">
      <c r="A271">
        <v>1121429</v>
      </c>
      <c r="B271" t="s">
        <v>162</v>
      </c>
      <c r="C271" t="s">
        <v>2</v>
      </c>
      <c r="D271" t="s">
        <v>1</v>
      </c>
      <c r="E271" s="14">
        <v>7</v>
      </c>
      <c r="F271" s="14">
        <v>152454</v>
      </c>
      <c r="G271" s="14">
        <v>22</v>
      </c>
      <c r="H271" s="13">
        <v>37.849999789999998</v>
      </c>
      <c r="I271" s="14">
        <v>10</v>
      </c>
      <c r="J271" s="11">
        <f>I271*85</f>
        <v>850</v>
      </c>
      <c r="K271" s="11">
        <f>J271-H271</f>
        <v>812.15000021000003</v>
      </c>
      <c r="L271" s="10">
        <f>G271/F271</f>
        <v>1.443058233959096E-4</v>
      </c>
      <c r="M271" s="14">
        <f>IFERROR(ROUND(I271/G271,2),0)</f>
        <v>0.45</v>
      </c>
      <c r="N271" s="11">
        <f>IFERROR(H271/G271,0)</f>
        <v>1.7204545359090908</v>
      </c>
      <c r="O271" s="11">
        <f>IFERROR(H271/I271,0)</f>
        <v>3.7849999789999997</v>
      </c>
      <c r="P271" s="11">
        <f>IFERROR((J271-H271)/H271,0)</f>
        <v>21.457067495798793</v>
      </c>
    </row>
    <row r="272" spans="1:16">
      <c r="A272">
        <v>1121437</v>
      </c>
      <c r="B272" t="s">
        <v>162</v>
      </c>
      <c r="C272" t="s">
        <v>2</v>
      </c>
      <c r="D272" t="s">
        <v>1</v>
      </c>
      <c r="E272" s="14">
        <v>66</v>
      </c>
      <c r="F272" s="14">
        <v>38580</v>
      </c>
      <c r="G272" s="14">
        <v>5</v>
      </c>
      <c r="H272" s="13">
        <v>8.5199999809999998</v>
      </c>
      <c r="I272" s="14">
        <v>10</v>
      </c>
      <c r="J272" s="11">
        <f>I272*85</f>
        <v>850</v>
      </c>
      <c r="K272" s="11">
        <f>J272-H272</f>
        <v>841.48000001900004</v>
      </c>
      <c r="L272" s="10">
        <f>G272/F272</f>
        <v>1.2960082944530845E-4</v>
      </c>
      <c r="M272" s="14">
        <f>IFERROR(ROUND(I272/G272,2),0)</f>
        <v>2</v>
      </c>
      <c r="N272" s="11">
        <f>IFERROR(H272/G272,0)</f>
        <v>1.7039999961999999</v>
      </c>
      <c r="O272" s="11">
        <f>IFERROR(H272/I272,0)</f>
        <v>0.85199999809999993</v>
      </c>
      <c r="P272" s="11">
        <f>IFERROR((J272-H272)/H272,0)</f>
        <v>98.765258438443652</v>
      </c>
    </row>
    <row r="273" spans="1:16">
      <c r="A273">
        <v>1121446</v>
      </c>
      <c r="B273" t="s">
        <v>162</v>
      </c>
      <c r="C273" t="s">
        <v>3</v>
      </c>
      <c r="D273" t="s">
        <v>1</v>
      </c>
      <c r="E273" s="14">
        <v>15</v>
      </c>
      <c r="F273" s="14">
        <v>163181</v>
      </c>
      <c r="G273" s="14">
        <v>26</v>
      </c>
      <c r="H273" s="13">
        <v>40.020000930000002</v>
      </c>
      <c r="I273" s="14">
        <v>10</v>
      </c>
      <c r="J273" s="11">
        <f>I273*85</f>
        <v>850</v>
      </c>
      <c r="K273" s="11">
        <f>J273-H273</f>
        <v>809.97999906999996</v>
      </c>
      <c r="L273" s="10">
        <f>G273/F273</f>
        <v>1.5933227520360826E-4</v>
      </c>
      <c r="M273" s="14">
        <f>IFERROR(ROUND(I273/G273,2),0)</f>
        <v>0.38</v>
      </c>
      <c r="N273" s="11">
        <f>IFERROR(H273/G273,0)</f>
        <v>1.5392308050000001</v>
      </c>
      <c r="O273" s="11">
        <f>IFERROR(H273/I273,0)</f>
        <v>4.0020000930000004</v>
      </c>
      <c r="P273" s="11">
        <f>IFERROR((J273-H273)/H273,0)</f>
        <v>20.23937981627628</v>
      </c>
    </row>
    <row r="274" spans="1:16">
      <c r="A274">
        <v>1121454</v>
      </c>
      <c r="B274" t="s">
        <v>162</v>
      </c>
      <c r="C274" t="s">
        <v>3</v>
      </c>
      <c r="D274" t="s">
        <v>1</v>
      </c>
      <c r="E274" s="14">
        <v>16</v>
      </c>
      <c r="F274" s="14">
        <v>75589</v>
      </c>
      <c r="G274" s="14">
        <v>6</v>
      </c>
      <c r="H274" s="13">
        <v>10.66000009</v>
      </c>
      <c r="I274" s="14">
        <v>10</v>
      </c>
      <c r="J274" s="11">
        <f>I274*85</f>
        <v>850</v>
      </c>
      <c r="K274" s="11">
        <f>J274-H274</f>
        <v>839.33999990999996</v>
      </c>
      <c r="L274" s="10">
        <f>G274/F274</f>
        <v>7.9376628874571701E-5</v>
      </c>
      <c r="M274" s="14">
        <f>IFERROR(ROUND(I274/G274,2),0)</f>
        <v>1.67</v>
      </c>
      <c r="N274" s="11">
        <f>IFERROR(H274/G274,0)</f>
        <v>1.7766666816666667</v>
      </c>
      <c r="O274" s="11">
        <f>IFERROR(H274/I274,0)</f>
        <v>1.0660000090000001</v>
      </c>
      <c r="P274" s="11">
        <f>IFERROR((J274-H274)/H274,0)</f>
        <v>78.737335161692286</v>
      </c>
    </row>
    <row r="275" spans="1:16">
      <c r="A275">
        <v>1121467</v>
      </c>
      <c r="B275" t="s">
        <v>162</v>
      </c>
      <c r="C275" t="s">
        <v>3</v>
      </c>
      <c r="D275" t="s">
        <v>1</v>
      </c>
      <c r="E275" s="14">
        <v>19</v>
      </c>
      <c r="F275" s="14">
        <v>42563</v>
      </c>
      <c r="G275" s="14">
        <v>5</v>
      </c>
      <c r="H275" s="13">
        <v>9.6599998469999999</v>
      </c>
      <c r="I275" s="14">
        <v>10</v>
      </c>
      <c r="J275" s="11">
        <f>I275*85</f>
        <v>850</v>
      </c>
      <c r="K275" s="11">
        <f>J275-H275</f>
        <v>840.34000015300001</v>
      </c>
      <c r="L275" s="10">
        <f>G275/F275</f>
        <v>1.1747292249136574E-4</v>
      </c>
      <c r="M275" s="14">
        <f>IFERROR(ROUND(I275/G275,2),0)</f>
        <v>2</v>
      </c>
      <c r="N275" s="11">
        <f>IFERROR(H275/G275,0)</f>
        <v>1.9319999694000001</v>
      </c>
      <c r="O275" s="11">
        <f>IFERROR(H275/I275,0)</f>
        <v>0.96599998470000004</v>
      </c>
      <c r="P275" s="11">
        <f>IFERROR((J275-H275)/H275,0)</f>
        <v>86.991719820158707</v>
      </c>
    </row>
    <row r="276" spans="1:16">
      <c r="A276">
        <v>1121472</v>
      </c>
      <c r="B276" t="s">
        <v>162</v>
      </c>
      <c r="C276" t="s">
        <v>3</v>
      </c>
      <c r="D276" t="s">
        <v>1</v>
      </c>
      <c r="E276" s="14">
        <v>20</v>
      </c>
      <c r="F276" s="14">
        <v>140596</v>
      </c>
      <c r="G276" s="14">
        <v>23</v>
      </c>
      <c r="H276" s="13">
        <v>40.77000022</v>
      </c>
      <c r="I276" s="14">
        <v>10</v>
      </c>
      <c r="J276" s="11">
        <f>I276*85</f>
        <v>850</v>
      </c>
      <c r="K276" s="11">
        <f>J276-H276</f>
        <v>809.22999977999996</v>
      </c>
      <c r="L276" s="10">
        <f>G276/F276</f>
        <v>1.6358929130273978E-4</v>
      </c>
      <c r="M276" s="14">
        <f>IFERROR(ROUND(I276/G276,2),0)</f>
        <v>0.43</v>
      </c>
      <c r="N276" s="11">
        <f>IFERROR(H276/G276,0)</f>
        <v>1.7726087052173913</v>
      </c>
      <c r="O276" s="11">
        <f>IFERROR(H276/I276,0)</f>
        <v>4.077000022</v>
      </c>
      <c r="P276" s="11">
        <f>IFERROR((J276-H276)/H276,0)</f>
        <v>19.848663120267208</v>
      </c>
    </row>
    <row r="277" spans="1:16">
      <c r="A277">
        <v>1121481</v>
      </c>
      <c r="B277" t="s">
        <v>162</v>
      </c>
      <c r="C277" t="s">
        <v>3</v>
      </c>
      <c r="D277" t="s">
        <v>1</v>
      </c>
      <c r="E277" s="14">
        <v>22</v>
      </c>
      <c r="F277" s="14">
        <v>153586</v>
      </c>
      <c r="G277" s="14">
        <v>28</v>
      </c>
      <c r="H277" s="13">
        <v>43.010000349999999</v>
      </c>
      <c r="I277" s="14">
        <v>10</v>
      </c>
      <c r="J277" s="11">
        <f>I277*85</f>
        <v>850</v>
      </c>
      <c r="K277" s="11">
        <f>J277-H277</f>
        <v>806.98999964999996</v>
      </c>
      <c r="L277" s="10">
        <f>G277/F277</f>
        <v>1.8230828330707225E-4</v>
      </c>
      <c r="M277" s="14">
        <f>IFERROR(ROUND(I277/G277,2),0)</f>
        <v>0.36</v>
      </c>
      <c r="N277" s="11">
        <f>IFERROR(H277/G277,0)</f>
        <v>1.5360714410714285</v>
      </c>
      <c r="O277" s="11">
        <f>IFERROR(H277/I277,0)</f>
        <v>4.3010000349999995</v>
      </c>
      <c r="P277" s="11">
        <f>IFERROR((J277-H277)/H277,0)</f>
        <v>18.7628456889794</v>
      </c>
    </row>
    <row r="278" spans="1:16">
      <c r="A278">
        <v>1121484</v>
      </c>
      <c r="B278" t="s">
        <v>162</v>
      </c>
      <c r="C278" t="s">
        <v>3</v>
      </c>
      <c r="D278" t="s">
        <v>1</v>
      </c>
      <c r="E278" s="14">
        <v>22</v>
      </c>
      <c r="F278" s="14">
        <v>34453</v>
      </c>
      <c r="G278" s="14">
        <v>5</v>
      </c>
      <c r="H278" s="13">
        <v>7.7100000380000004</v>
      </c>
      <c r="I278" s="14">
        <v>10</v>
      </c>
      <c r="J278" s="11">
        <f>I278*85</f>
        <v>850</v>
      </c>
      <c r="K278" s="11">
        <f>J278-H278</f>
        <v>842.28999996200002</v>
      </c>
      <c r="L278" s="10">
        <f>G278/F278</f>
        <v>1.4512524308478217E-4</v>
      </c>
      <c r="M278" s="14">
        <f>IFERROR(ROUND(I278/G278,2),0)</f>
        <v>2</v>
      </c>
      <c r="N278" s="11">
        <f>IFERROR(H278/G278,0)</f>
        <v>1.5420000076</v>
      </c>
      <c r="O278" s="11">
        <f>IFERROR(H278/I278,0)</f>
        <v>0.7710000038</v>
      </c>
      <c r="P278" s="11">
        <f>IFERROR((J278-H278)/H278,0)</f>
        <v>109.24643266026401</v>
      </c>
    </row>
    <row r="279" spans="1:16">
      <c r="A279">
        <v>1121497</v>
      </c>
      <c r="B279" t="s">
        <v>162</v>
      </c>
      <c r="C279" t="s">
        <v>3</v>
      </c>
      <c r="D279" t="s">
        <v>1</v>
      </c>
      <c r="E279" s="14">
        <v>24</v>
      </c>
      <c r="F279" s="14">
        <v>209825</v>
      </c>
      <c r="G279" s="14">
        <v>30</v>
      </c>
      <c r="H279" s="13">
        <v>54.869999530000001</v>
      </c>
      <c r="I279" s="14">
        <v>10</v>
      </c>
      <c r="J279" s="11">
        <f>I279*85</f>
        <v>850</v>
      </c>
      <c r="K279" s="11">
        <f>J279-H279</f>
        <v>795.13000047000003</v>
      </c>
      <c r="L279" s="10">
        <f>G279/F279</f>
        <v>1.429762897652806E-4</v>
      </c>
      <c r="M279" s="14">
        <f>IFERROR(ROUND(I279/G279,2),0)</f>
        <v>0.33</v>
      </c>
      <c r="N279" s="11">
        <f>IFERROR(H279/G279,0)</f>
        <v>1.8289999843333333</v>
      </c>
      <c r="O279" s="11">
        <f>IFERROR(H279/I279,0)</f>
        <v>5.4869999529999998</v>
      </c>
      <c r="P279" s="11">
        <f>IFERROR((J279-H279)/H279,0)</f>
        <v>14.491161058517326</v>
      </c>
    </row>
    <row r="280" spans="1:16">
      <c r="A280">
        <v>1121499</v>
      </c>
      <c r="B280" t="s">
        <v>162</v>
      </c>
      <c r="C280" t="s">
        <v>3</v>
      </c>
      <c r="D280" t="s">
        <v>1</v>
      </c>
      <c r="E280" s="14">
        <v>25</v>
      </c>
      <c r="F280" s="14">
        <v>264222</v>
      </c>
      <c r="G280" s="14">
        <v>63</v>
      </c>
      <c r="H280" s="13">
        <v>87.789999600000002</v>
      </c>
      <c r="I280" s="14">
        <v>10</v>
      </c>
      <c r="J280" s="11">
        <f>I280*85</f>
        <v>850</v>
      </c>
      <c r="K280" s="11">
        <f>J280-H280</f>
        <v>762.21000040000001</v>
      </c>
      <c r="L280" s="10">
        <f>G280/F280</f>
        <v>2.3843586075345731E-4</v>
      </c>
      <c r="M280" s="14">
        <f>IFERROR(ROUND(I280/G280,2),0)</f>
        <v>0.16</v>
      </c>
      <c r="N280" s="11">
        <f>IFERROR(H280/G280,0)</f>
        <v>1.3934920571428571</v>
      </c>
      <c r="O280" s="11">
        <f>IFERROR(H280/I280,0)</f>
        <v>8.7789999600000002</v>
      </c>
      <c r="P280" s="11">
        <f>IFERROR((J280-H280)/H280,0)</f>
        <v>8.6821961940184362</v>
      </c>
    </row>
    <row r="281" spans="1:16">
      <c r="A281">
        <v>1121535</v>
      </c>
      <c r="B281" t="s">
        <v>162</v>
      </c>
      <c r="C281" t="s">
        <v>3</v>
      </c>
      <c r="D281" t="s">
        <v>1</v>
      </c>
      <c r="E281" s="14">
        <v>31</v>
      </c>
      <c r="F281" s="14">
        <v>77794</v>
      </c>
      <c r="G281" s="14">
        <v>14</v>
      </c>
      <c r="H281" s="13">
        <v>19.11000001</v>
      </c>
      <c r="I281" s="14">
        <v>10</v>
      </c>
      <c r="J281" s="11">
        <f>I281*85</f>
        <v>850</v>
      </c>
      <c r="K281" s="11">
        <f>J281-H281</f>
        <v>830.88999998999998</v>
      </c>
      <c r="L281" s="10">
        <f>G281/F281</f>
        <v>1.7996246497159165E-4</v>
      </c>
      <c r="M281" s="14">
        <f>IFERROR(ROUND(I281/G281,2),0)</f>
        <v>0.71</v>
      </c>
      <c r="N281" s="11">
        <f>IFERROR(H281/G281,0)</f>
        <v>1.3650000007142857</v>
      </c>
      <c r="O281" s="11">
        <f>IFERROR(H281/I281,0)</f>
        <v>1.9110000010000001</v>
      </c>
      <c r="P281" s="11">
        <f>IFERROR((J281-H281)/H281,0)</f>
        <v>43.479330170340482</v>
      </c>
    </row>
    <row r="282" spans="1:16">
      <c r="A282">
        <v>1121557</v>
      </c>
      <c r="B282" t="s">
        <v>162</v>
      </c>
      <c r="C282" t="s">
        <v>3</v>
      </c>
      <c r="D282" t="s">
        <v>1</v>
      </c>
      <c r="E282" s="14">
        <v>63</v>
      </c>
      <c r="F282" s="14">
        <v>280764</v>
      </c>
      <c r="G282" s="14">
        <v>49</v>
      </c>
      <c r="H282" s="13">
        <v>81.360000249999999</v>
      </c>
      <c r="I282" s="14">
        <v>10</v>
      </c>
      <c r="J282" s="11">
        <f>I282*85</f>
        <v>850</v>
      </c>
      <c r="K282" s="11">
        <f>J282-H282</f>
        <v>768.63999975000002</v>
      </c>
      <c r="L282" s="10">
        <f>G282/F282</f>
        <v>1.7452379934749469E-4</v>
      </c>
      <c r="M282" s="14">
        <f>IFERROR(ROUND(I282/G282,2),0)</f>
        <v>0.2</v>
      </c>
      <c r="N282" s="11">
        <f>IFERROR(H282/G282,0)</f>
        <v>1.6604081683673468</v>
      </c>
      <c r="O282" s="11">
        <f>IFERROR(H282/I282,0)</f>
        <v>8.1360000249999995</v>
      </c>
      <c r="P282" s="11">
        <f>IFERROR((J282-H282)/H282,0)</f>
        <v>9.4473942648494518</v>
      </c>
    </row>
    <row r="283" spans="1:16">
      <c r="A283">
        <v>1121561</v>
      </c>
      <c r="B283" t="s">
        <v>162</v>
      </c>
      <c r="C283" t="s">
        <v>3</v>
      </c>
      <c r="D283" t="s">
        <v>1</v>
      </c>
      <c r="E283" s="14">
        <v>64</v>
      </c>
      <c r="F283" s="14">
        <v>63660</v>
      </c>
      <c r="G283" s="14">
        <v>11</v>
      </c>
      <c r="H283" s="13">
        <v>16.470000030000001</v>
      </c>
      <c r="I283" s="14">
        <v>10</v>
      </c>
      <c r="J283" s="11">
        <f>I283*85</f>
        <v>850</v>
      </c>
      <c r="K283" s="11">
        <f>J283-H283</f>
        <v>833.52999996999995</v>
      </c>
      <c r="L283" s="10">
        <f>G283/F283</f>
        <v>1.7279296261388626E-4</v>
      </c>
      <c r="M283" s="14">
        <f>IFERROR(ROUND(I283/G283,2),0)</f>
        <v>0.91</v>
      </c>
      <c r="N283" s="11">
        <f>IFERROR(H283/G283,0)</f>
        <v>1.4972727300000002</v>
      </c>
      <c r="O283" s="11">
        <f>IFERROR(H283/I283,0)</f>
        <v>1.647000003</v>
      </c>
      <c r="P283" s="11">
        <f>IFERROR((J283-H283)/H283,0)</f>
        <v>50.608985941210101</v>
      </c>
    </row>
    <row r="284" spans="1:16">
      <c r="A284">
        <v>1121575</v>
      </c>
      <c r="B284" t="s">
        <v>162</v>
      </c>
      <c r="C284" t="s">
        <v>3</v>
      </c>
      <c r="D284" t="s">
        <v>1</v>
      </c>
      <c r="E284" s="14">
        <v>2</v>
      </c>
      <c r="F284" s="14">
        <v>128595</v>
      </c>
      <c r="G284" s="14">
        <v>23</v>
      </c>
      <c r="H284" s="13">
        <v>36.480000500000003</v>
      </c>
      <c r="I284" s="14">
        <v>10</v>
      </c>
      <c r="J284" s="11">
        <f>I284*85</f>
        <v>850</v>
      </c>
      <c r="K284" s="11">
        <f>J284-H284</f>
        <v>813.51999950000004</v>
      </c>
      <c r="L284" s="10">
        <f>G284/F284</f>
        <v>1.7885609860414478E-4</v>
      </c>
      <c r="M284" s="14">
        <f>IFERROR(ROUND(I284/G284,2),0)</f>
        <v>0.43</v>
      </c>
      <c r="N284" s="11">
        <f>IFERROR(H284/G284,0)</f>
        <v>1.5860869782608698</v>
      </c>
      <c r="O284" s="11">
        <f>IFERROR(H284/I284,0)</f>
        <v>3.6480000500000003</v>
      </c>
      <c r="P284" s="11">
        <f>IFERROR((J284-H284)/H284,0)</f>
        <v>22.300438277132152</v>
      </c>
    </row>
    <row r="285" spans="1:16">
      <c r="A285">
        <v>1121577</v>
      </c>
      <c r="B285" t="s">
        <v>162</v>
      </c>
      <c r="C285" t="s">
        <v>3</v>
      </c>
      <c r="D285" t="s">
        <v>1</v>
      </c>
      <c r="E285" s="14">
        <v>7</v>
      </c>
      <c r="F285" s="14">
        <v>242234</v>
      </c>
      <c r="G285" s="14">
        <v>48</v>
      </c>
      <c r="H285" s="13">
        <v>68.060000540000004</v>
      </c>
      <c r="I285" s="14">
        <v>10</v>
      </c>
      <c r="J285" s="11">
        <f>I285*85</f>
        <v>850</v>
      </c>
      <c r="K285" s="11">
        <f>J285-H285</f>
        <v>781.93999945999997</v>
      </c>
      <c r="L285" s="10">
        <f>G285/F285</f>
        <v>1.9815550253061089E-4</v>
      </c>
      <c r="M285" s="14">
        <f>IFERROR(ROUND(I285/G285,2),0)</f>
        <v>0.21</v>
      </c>
      <c r="N285" s="11">
        <f>IFERROR(H285/G285,0)</f>
        <v>1.4179166779166668</v>
      </c>
      <c r="O285" s="11">
        <f>IFERROR(H285/I285,0)</f>
        <v>6.8060000540000001</v>
      </c>
      <c r="P285" s="11">
        <f>IFERROR((J285-H285)/H285,0)</f>
        <v>11.488980212400097</v>
      </c>
    </row>
    <row r="286" spans="1:16">
      <c r="A286">
        <v>1121584</v>
      </c>
      <c r="B286" t="s">
        <v>162</v>
      </c>
      <c r="C286" t="s">
        <v>3</v>
      </c>
      <c r="D286" t="s">
        <v>1</v>
      </c>
      <c r="E286" s="14">
        <v>66</v>
      </c>
      <c r="F286" s="14">
        <v>33154</v>
      </c>
      <c r="G286" s="14">
        <v>5</v>
      </c>
      <c r="H286" s="13">
        <v>7.8799999950000004</v>
      </c>
      <c r="I286" s="14">
        <v>10</v>
      </c>
      <c r="J286" s="11">
        <f>I286*85</f>
        <v>850</v>
      </c>
      <c r="K286" s="11">
        <f>J286-H286</f>
        <v>842.12000000499995</v>
      </c>
      <c r="L286" s="10">
        <f>G286/F286</f>
        <v>1.5081136514447728E-4</v>
      </c>
      <c r="M286" s="14">
        <f>IFERROR(ROUND(I286/G286,2),0)</f>
        <v>2</v>
      </c>
      <c r="N286" s="11">
        <f>IFERROR(H286/G286,0)</f>
        <v>1.575999999</v>
      </c>
      <c r="O286" s="11">
        <f>IFERROR(H286/I286,0)</f>
        <v>0.78799999949999999</v>
      </c>
      <c r="P286" s="11">
        <f>IFERROR((J286-H286)/H286,0)</f>
        <v>106.8680203730127</v>
      </c>
    </row>
    <row r="287" spans="1:16">
      <c r="A287">
        <v>1121599</v>
      </c>
      <c r="B287" t="s">
        <v>162</v>
      </c>
      <c r="C287" t="s">
        <v>4</v>
      </c>
      <c r="D287" t="s">
        <v>1</v>
      </c>
      <c r="E287" s="14">
        <v>15</v>
      </c>
      <c r="F287" s="14">
        <v>250960</v>
      </c>
      <c r="G287" s="14">
        <v>42</v>
      </c>
      <c r="H287" s="13">
        <v>64.879999519999998</v>
      </c>
      <c r="I287" s="14">
        <v>10</v>
      </c>
      <c r="J287" s="11">
        <f>I287*85</f>
        <v>850</v>
      </c>
      <c r="K287" s="11">
        <f>J287-H287</f>
        <v>785.12000048000004</v>
      </c>
      <c r="L287" s="10">
        <f>G287/F287</f>
        <v>1.673573477845075E-4</v>
      </c>
      <c r="M287" s="14">
        <f>IFERROR(ROUND(I287/G287,2),0)</f>
        <v>0.24</v>
      </c>
      <c r="N287" s="11">
        <f>IFERROR(H287/G287,0)</f>
        <v>1.5447618933333334</v>
      </c>
      <c r="O287" s="11">
        <f>IFERROR(H287/I287,0)</f>
        <v>6.487999952</v>
      </c>
      <c r="P287" s="11">
        <f>IFERROR((J287-H287)/H287,0)</f>
        <v>12.101109837986018</v>
      </c>
    </row>
    <row r="288" spans="1:16">
      <c r="A288">
        <v>1121607</v>
      </c>
      <c r="B288" t="s">
        <v>162</v>
      </c>
      <c r="C288" t="s">
        <v>4</v>
      </c>
      <c r="D288" t="s">
        <v>1</v>
      </c>
      <c r="E288" s="14">
        <v>18</v>
      </c>
      <c r="F288" s="14">
        <v>154572</v>
      </c>
      <c r="G288" s="14">
        <v>26</v>
      </c>
      <c r="H288" s="13">
        <v>40.930000069999998</v>
      </c>
      <c r="I288" s="14">
        <v>10</v>
      </c>
      <c r="J288" s="11">
        <f>I288*85</f>
        <v>850</v>
      </c>
      <c r="K288" s="11">
        <f>J288-H288</f>
        <v>809.06999992999999</v>
      </c>
      <c r="L288" s="10">
        <f>G288/F288</f>
        <v>1.6820640219444659E-4</v>
      </c>
      <c r="M288" s="14">
        <f>IFERROR(ROUND(I288/G288,2),0)</f>
        <v>0.38</v>
      </c>
      <c r="N288" s="11">
        <f>IFERROR(H288/G288,0)</f>
        <v>1.5742307719230768</v>
      </c>
      <c r="O288" s="11">
        <f>IFERROR(H288/I288,0)</f>
        <v>4.0930000069999997</v>
      </c>
      <c r="P288" s="11">
        <f>IFERROR((J288-H288)/H288,0)</f>
        <v>19.767163414275558</v>
      </c>
    </row>
    <row r="289" spans="1:16">
      <c r="A289">
        <v>1121616</v>
      </c>
      <c r="B289" t="s">
        <v>162</v>
      </c>
      <c r="C289" t="s">
        <v>4</v>
      </c>
      <c r="D289" t="s">
        <v>1</v>
      </c>
      <c r="E289" s="14">
        <v>19</v>
      </c>
      <c r="F289" s="14">
        <v>334945</v>
      </c>
      <c r="G289" s="14">
        <v>72</v>
      </c>
      <c r="H289" s="13">
        <v>120.2999994</v>
      </c>
      <c r="I289" s="14">
        <v>10</v>
      </c>
      <c r="J289" s="11">
        <f>I289*85</f>
        <v>850</v>
      </c>
      <c r="K289" s="11">
        <f>J289-H289</f>
        <v>729.70000059999995</v>
      </c>
      <c r="L289" s="10">
        <f>G289/F289</f>
        <v>2.1496066518383614E-4</v>
      </c>
      <c r="M289" s="14">
        <f>IFERROR(ROUND(I289/G289,2),0)</f>
        <v>0.14000000000000001</v>
      </c>
      <c r="N289" s="11">
        <f>IFERROR(H289/G289,0)</f>
        <v>1.670833325</v>
      </c>
      <c r="O289" s="11">
        <f>IFERROR(H289/I289,0)</f>
        <v>12.02999994</v>
      </c>
      <c r="P289" s="11">
        <f>IFERROR((J289-H289)/H289,0)</f>
        <v>6.0656691956724975</v>
      </c>
    </row>
    <row r="290" spans="1:16">
      <c r="A290">
        <v>1121619</v>
      </c>
      <c r="B290" t="s">
        <v>162</v>
      </c>
      <c r="C290" t="s">
        <v>4</v>
      </c>
      <c r="D290" t="s">
        <v>1</v>
      </c>
      <c r="E290" s="14">
        <v>20</v>
      </c>
      <c r="F290" s="14">
        <v>127125</v>
      </c>
      <c r="G290" s="14">
        <v>20</v>
      </c>
      <c r="H290" s="13">
        <v>35.67999983</v>
      </c>
      <c r="I290" s="14">
        <v>10</v>
      </c>
      <c r="J290" s="11">
        <f>I290*85</f>
        <v>850</v>
      </c>
      <c r="K290" s="11">
        <f>J290-H290</f>
        <v>814.32000016999996</v>
      </c>
      <c r="L290" s="10">
        <f>G290/F290</f>
        <v>1.5732546705998033E-4</v>
      </c>
      <c r="M290" s="14">
        <f>IFERROR(ROUND(I290/G290,2),0)</f>
        <v>0.5</v>
      </c>
      <c r="N290" s="11">
        <f>IFERROR(H290/G290,0)</f>
        <v>1.7839999915</v>
      </c>
      <c r="O290" s="11">
        <f>IFERROR(H290/I290,0)</f>
        <v>3.567999983</v>
      </c>
      <c r="P290" s="11">
        <f>IFERROR((J290-H290)/H290,0)</f>
        <v>22.822870068662777</v>
      </c>
    </row>
    <row r="291" spans="1:16">
      <c r="A291">
        <v>1121622</v>
      </c>
      <c r="B291" t="s">
        <v>162</v>
      </c>
      <c r="C291" t="s">
        <v>4</v>
      </c>
      <c r="D291" t="s">
        <v>1</v>
      </c>
      <c r="E291" s="14">
        <v>20</v>
      </c>
      <c r="F291" s="14">
        <v>107671</v>
      </c>
      <c r="G291" s="14">
        <v>20</v>
      </c>
      <c r="H291" s="13">
        <v>29.91000021</v>
      </c>
      <c r="I291" s="14">
        <v>10</v>
      </c>
      <c r="J291" s="11">
        <f>I291*85</f>
        <v>850</v>
      </c>
      <c r="K291" s="11">
        <f>J291-H291</f>
        <v>820.08999978999998</v>
      </c>
      <c r="L291" s="10">
        <f>G291/F291</f>
        <v>1.8575103788392416E-4</v>
      </c>
      <c r="M291" s="14">
        <f>IFERROR(ROUND(I291/G291,2),0)</f>
        <v>0.5</v>
      </c>
      <c r="N291" s="11">
        <f>IFERROR(H291/G291,0)</f>
        <v>1.4955000105</v>
      </c>
      <c r="O291" s="11">
        <f>IFERROR(H291/I291,0)</f>
        <v>2.9910000210000001</v>
      </c>
      <c r="P291" s="11">
        <f>IFERROR((J291-H291)/H291,0)</f>
        <v>27.418588901106531</v>
      </c>
    </row>
    <row r="292" spans="1:16">
      <c r="A292">
        <v>1121623</v>
      </c>
      <c r="B292" t="s">
        <v>162</v>
      </c>
      <c r="C292" t="s">
        <v>4</v>
      </c>
      <c r="D292" t="s">
        <v>1</v>
      </c>
      <c r="E292" s="14">
        <v>20</v>
      </c>
      <c r="F292" s="14">
        <v>164356</v>
      </c>
      <c r="G292" s="14">
        <v>28</v>
      </c>
      <c r="H292" s="13">
        <v>46.790000200000001</v>
      </c>
      <c r="I292" s="14">
        <v>10</v>
      </c>
      <c r="J292" s="11">
        <f>I292*85</f>
        <v>850</v>
      </c>
      <c r="K292" s="11">
        <f>J292-H292</f>
        <v>803.20999979999999</v>
      </c>
      <c r="L292" s="10">
        <f>G292/F292</f>
        <v>1.7036189734478813E-4</v>
      </c>
      <c r="M292" s="14">
        <f>IFERROR(ROUND(I292/G292,2),0)</f>
        <v>0.36</v>
      </c>
      <c r="N292" s="11">
        <f>IFERROR(H292/G292,0)</f>
        <v>1.6710714357142857</v>
      </c>
      <c r="O292" s="11">
        <f>IFERROR(H292/I292,0)</f>
        <v>4.6790000200000001</v>
      </c>
      <c r="P292" s="11">
        <f>IFERROR((J292-H292)/H292,0)</f>
        <v>17.166274767402115</v>
      </c>
    </row>
    <row r="293" spans="1:16">
      <c r="A293">
        <v>1121627</v>
      </c>
      <c r="B293" t="s">
        <v>162</v>
      </c>
      <c r="C293" t="s">
        <v>4</v>
      </c>
      <c r="D293" t="s">
        <v>1</v>
      </c>
      <c r="E293" s="14">
        <v>21</v>
      </c>
      <c r="F293" s="14">
        <v>65339</v>
      </c>
      <c r="G293" s="14">
        <v>10</v>
      </c>
      <c r="H293" s="13">
        <v>16.67999983</v>
      </c>
      <c r="I293" s="14">
        <v>10</v>
      </c>
      <c r="J293" s="11">
        <f>I293*85</f>
        <v>850</v>
      </c>
      <c r="K293" s="11">
        <f>J293-H293</f>
        <v>833.32000016999996</v>
      </c>
      <c r="L293" s="10">
        <f>G293/F293</f>
        <v>1.5304794992271079E-4</v>
      </c>
      <c r="M293" s="14">
        <f>IFERROR(ROUND(I293/G293,2),0)</f>
        <v>1</v>
      </c>
      <c r="N293" s="11">
        <f>IFERROR(H293/G293,0)</f>
        <v>1.6679999830000001</v>
      </c>
      <c r="O293" s="11">
        <f>IFERROR(H293/I293,0)</f>
        <v>1.6679999830000001</v>
      </c>
      <c r="P293" s="11">
        <f>IFERROR((J293-H293)/H293,0)</f>
        <v>49.959233133277557</v>
      </c>
    </row>
    <row r="294" spans="1:16">
      <c r="A294">
        <v>1121650</v>
      </c>
      <c r="B294" t="s">
        <v>162</v>
      </c>
      <c r="C294" t="s">
        <v>4</v>
      </c>
      <c r="D294" t="s">
        <v>1</v>
      </c>
      <c r="E294" s="14">
        <v>25</v>
      </c>
      <c r="F294" s="14">
        <v>101431</v>
      </c>
      <c r="G294" s="14">
        <v>23</v>
      </c>
      <c r="H294" s="13">
        <v>33.930000309999997</v>
      </c>
      <c r="I294" s="14">
        <v>10</v>
      </c>
      <c r="J294" s="11">
        <f>I294*85</f>
        <v>850</v>
      </c>
      <c r="K294" s="11">
        <f>J294-H294</f>
        <v>816.06999969000003</v>
      </c>
      <c r="L294" s="10">
        <f>G294/F294</f>
        <v>2.2675513403200206E-4</v>
      </c>
      <c r="M294" s="14">
        <f>IFERROR(ROUND(I294/G294,2),0)</f>
        <v>0.43</v>
      </c>
      <c r="N294" s="11">
        <f>IFERROR(H294/G294,0)</f>
        <v>1.4752174047826085</v>
      </c>
      <c r="O294" s="11">
        <f>IFERROR(H294/I294,0)</f>
        <v>3.3930000309999997</v>
      </c>
      <c r="P294" s="11">
        <f>IFERROR((J294-H294)/H294,0)</f>
        <v>24.051576546832049</v>
      </c>
    </row>
    <row r="295" spans="1:16">
      <c r="A295">
        <v>1121665</v>
      </c>
      <c r="B295" t="s">
        <v>162</v>
      </c>
      <c r="C295" t="s">
        <v>4</v>
      </c>
      <c r="D295" t="s">
        <v>1</v>
      </c>
      <c r="E295" s="14">
        <v>27</v>
      </c>
      <c r="F295" s="14">
        <v>258531</v>
      </c>
      <c r="G295" s="14">
        <v>46</v>
      </c>
      <c r="H295" s="13">
        <v>80.339999789999993</v>
      </c>
      <c r="I295" s="14">
        <v>10</v>
      </c>
      <c r="J295" s="11">
        <f>I295*85</f>
        <v>850</v>
      </c>
      <c r="K295" s="11">
        <f>J295-H295</f>
        <v>769.66000021000002</v>
      </c>
      <c r="L295" s="10">
        <f>G295/F295</f>
        <v>1.7792837222615471E-4</v>
      </c>
      <c r="M295" s="14">
        <f>IFERROR(ROUND(I295/G295,2),0)</f>
        <v>0.22</v>
      </c>
      <c r="N295" s="11">
        <f>IFERROR(H295/G295,0)</f>
        <v>1.7465217345652173</v>
      </c>
      <c r="O295" s="11">
        <f>IFERROR(H295/I295,0)</f>
        <v>8.033999978999999</v>
      </c>
      <c r="P295" s="11">
        <f>IFERROR((J295-H295)/H295,0)</f>
        <v>9.5800348795345709</v>
      </c>
    </row>
    <row r="296" spans="1:16">
      <c r="A296">
        <v>1121666</v>
      </c>
      <c r="B296" t="s">
        <v>162</v>
      </c>
      <c r="C296" t="s">
        <v>4</v>
      </c>
      <c r="D296" t="s">
        <v>1</v>
      </c>
      <c r="E296" s="14">
        <v>27</v>
      </c>
      <c r="F296" s="14">
        <v>272500</v>
      </c>
      <c r="G296" s="14">
        <v>62</v>
      </c>
      <c r="H296" s="13">
        <v>104.4599996</v>
      </c>
      <c r="I296" s="14">
        <v>10</v>
      </c>
      <c r="J296" s="11">
        <f>I296*85</f>
        <v>850</v>
      </c>
      <c r="K296" s="11">
        <f>J296-H296</f>
        <v>745.54000040000005</v>
      </c>
      <c r="L296" s="10">
        <f>G296/F296</f>
        <v>2.275229357798165E-4</v>
      </c>
      <c r="M296" s="14">
        <f>IFERROR(ROUND(I296/G296,2),0)</f>
        <v>0.16</v>
      </c>
      <c r="N296" s="11">
        <f>IFERROR(H296/G296,0)</f>
        <v>1.6848387032258065</v>
      </c>
      <c r="O296" s="11">
        <f>IFERROR(H296/I296,0)</f>
        <v>10.44599996</v>
      </c>
      <c r="P296" s="11">
        <f>IFERROR((J296-H296)/H296,0)</f>
        <v>7.1370859970786373</v>
      </c>
    </row>
    <row r="297" spans="1:16">
      <c r="A297">
        <v>1121674</v>
      </c>
      <c r="B297" t="s">
        <v>162</v>
      </c>
      <c r="C297" t="s">
        <v>4</v>
      </c>
      <c r="D297" t="s">
        <v>1</v>
      </c>
      <c r="E297" s="14">
        <v>29</v>
      </c>
      <c r="F297" s="14">
        <v>168655</v>
      </c>
      <c r="G297" s="14">
        <v>18</v>
      </c>
      <c r="H297" s="13">
        <v>27.299999830000001</v>
      </c>
      <c r="I297" s="14">
        <v>10</v>
      </c>
      <c r="J297" s="11">
        <f>I297*85</f>
        <v>850</v>
      </c>
      <c r="K297" s="11">
        <f>J297-H297</f>
        <v>822.70000016999995</v>
      </c>
      <c r="L297" s="10">
        <f>G297/F297</f>
        <v>1.0672674987400314E-4</v>
      </c>
      <c r="M297" s="14">
        <f>IFERROR(ROUND(I297/G297,2),0)</f>
        <v>0.56000000000000005</v>
      </c>
      <c r="N297" s="11">
        <f>IFERROR(H297/G297,0)</f>
        <v>1.5166666572222223</v>
      </c>
      <c r="O297" s="11">
        <f>IFERROR(H297/I297,0)</f>
        <v>2.7299999829999999</v>
      </c>
      <c r="P297" s="11">
        <f>IFERROR((J297-H297)/H297,0)</f>
        <v>30.135531329415393</v>
      </c>
    </row>
    <row r="298" spans="1:16">
      <c r="A298">
        <v>1121685</v>
      </c>
      <c r="B298" t="s">
        <v>162</v>
      </c>
      <c r="C298" t="s">
        <v>4</v>
      </c>
      <c r="D298" t="s">
        <v>1</v>
      </c>
      <c r="E298" s="14">
        <v>31</v>
      </c>
      <c r="F298" s="14">
        <v>66794</v>
      </c>
      <c r="G298" s="14">
        <v>9</v>
      </c>
      <c r="H298" s="13">
        <v>17.3299998</v>
      </c>
      <c r="I298" s="14">
        <v>10</v>
      </c>
      <c r="J298" s="11">
        <f>I298*85</f>
        <v>850</v>
      </c>
      <c r="K298" s="11">
        <f>J298-H298</f>
        <v>832.6700002</v>
      </c>
      <c r="L298" s="10">
        <f>G298/F298</f>
        <v>1.3474264155463066E-4</v>
      </c>
      <c r="M298" s="14">
        <f>IFERROR(ROUND(I298/G298,2),0)</f>
        <v>1.1100000000000001</v>
      </c>
      <c r="N298" s="11">
        <f>IFERROR(H298/G298,0)</f>
        <v>1.9255555333333332</v>
      </c>
      <c r="O298" s="11">
        <f>IFERROR(H298/I298,0)</f>
        <v>1.73299998</v>
      </c>
      <c r="P298" s="11">
        <f>IFERROR((J298-H298)/H298,0)</f>
        <v>48.047894391781817</v>
      </c>
    </row>
    <row r="299" spans="1:16">
      <c r="A299">
        <v>1121689</v>
      </c>
      <c r="B299" t="s">
        <v>162</v>
      </c>
      <c r="C299" t="s">
        <v>4</v>
      </c>
      <c r="D299" t="s">
        <v>1</v>
      </c>
      <c r="E299" s="14">
        <v>31</v>
      </c>
      <c r="F299" s="14">
        <v>148010</v>
      </c>
      <c r="G299" s="14">
        <v>24</v>
      </c>
      <c r="H299" s="13">
        <v>41.969999430000001</v>
      </c>
      <c r="I299" s="14">
        <v>10</v>
      </c>
      <c r="J299" s="11">
        <f>I299*85</f>
        <v>850</v>
      </c>
      <c r="K299" s="11">
        <f>J299-H299</f>
        <v>808.03000056999997</v>
      </c>
      <c r="L299" s="10">
        <f>G299/F299</f>
        <v>1.6215120599959463E-4</v>
      </c>
      <c r="M299" s="14">
        <f>IFERROR(ROUND(I299/G299,2),0)</f>
        <v>0.42</v>
      </c>
      <c r="N299" s="11">
        <f>IFERROR(H299/G299,0)</f>
        <v>1.7487499762500001</v>
      </c>
      <c r="O299" s="11">
        <f>IFERROR(H299/I299,0)</f>
        <v>4.1969999429999998</v>
      </c>
      <c r="P299" s="11">
        <f>IFERROR((J299-H299)/H299,0)</f>
        <v>19.252561628400287</v>
      </c>
    </row>
    <row r="300" spans="1:16">
      <c r="A300">
        <v>1121695</v>
      </c>
      <c r="B300" t="s">
        <v>162</v>
      </c>
      <c r="C300" t="s">
        <v>4</v>
      </c>
      <c r="D300" t="s">
        <v>1</v>
      </c>
      <c r="E300" s="14">
        <v>32</v>
      </c>
      <c r="F300" s="14">
        <v>29455</v>
      </c>
      <c r="G300" s="14">
        <v>3</v>
      </c>
      <c r="H300" s="13">
        <v>4.7699999809999998</v>
      </c>
      <c r="I300" s="14">
        <v>10</v>
      </c>
      <c r="J300" s="11">
        <f>I300*85</f>
        <v>850</v>
      </c>
      <c r="K300" s="11">
        <f>J300-H300</f>
        <v>845.23000001900004</v>
      </c>
      <c r="L300" s="10">
        <f>G300/F300</f>
        <v>1.0185028008827024E-4</v>
      </c>
      <c r="M300" s="14">
        <f>IFERROR(ROUND(I300/G300,2),0)</f>
        <v>3.33</v>
      </c>
      <c r="N300" s="11">
        <f>IFERROR(H300/G300,0)</f>
        <v>1.5899999936666667</v>
      </c>
      <c r="O300" s="11">
        <f>IFERROR(H300/I300,0)</f>
        <v>0.47699999809999999</v>
      </c>
      <c r="P300" s="11">
        <f>IFERROR((J300-H300)/H300,0)</f>
        <v>177.19706569931748</v>
      </c>
    </row>
    <row r="301" spans="1:16">
      <c r="A301">
        <v>1121701</v>
      </c>
      <c r="B301" t="s">
        <v>162</v>
      </c>
      <c r="C301" t="s">
        <v>4</v>
      </c>
      <c r="D301" t="s">
        <v>1</v>
      </c>
      <c r="E301" s="14">
        <v>36</v>
      </c>
      <c r="F301" s="14">
        <v>23973</v>
      </c>
      <c r="G301" s="14">
        <v>3</v>
      </c>
      <c r="H301" s="13">
        <v>4.8200000520000001</v>
      </c>
      <c r="I301" s="14">
        <v>10</v>
      </c>
      <c r="J301" s="11">
        <f>I301*85</f>
        <v>850</v>
      </c>
      <c r="K301" s="11">
        <f>J301-H301</f>
        <v>845.17999994800005</v>
      </c>
      <c r="L301" s="10">
        <f>G301/F301</f>
        <v>1.2514078338130396E-4</v>
      </c>
      <c r="M301" s="14">
        <f>IFERROR(ROUND(I301/G301,2),0)</f>
        <v>3.33</v>
      </c>
      <c r="N301" s="11">
        <f>IFERROR(H301/G301,0)</f>
        <v>1.6066666840000001</v>
      </c>
      <c r="O301" s="11">
        <f>IFERROR(H301/I301,0)</f>
        <v>0.48200000520000003</v>
      </c>
      <c r="P301" s="11">
        <f>IFERROR((J301-H301)/H301,0)</f>
        <v>175.3485458153269</v>
      </c>
    </row>
    <row r="302" spans="1:16">
      <c r="A302">
        <v>1121705</v>
      </c>
      <c r="B302" t="s">
        <v>162</v>
      </c>
      <c r="C302" t="s">
        <v>4</v>
      </c>
      <c r="D302" t="s">
        <v>1</v>
      </c>
      <c r="E302" s="14">
        <v>63</v>
      </c>
      <c r="F302" s="14">
        <v>126480</v>
      </c>
      <c r="G302" s="14">
        <v>25</v>
      </c>
      <c r="H302" s="13">
        <v>37.259999989999997</v>
      </c>
      <c r="I302" s="14">
        <v>10</v>
      </c>
      <c r="J302" s="11">
        <f>I302*85</f>
        <v>850</v>
      </c>
      <c r="K302" s="11">
        <f>J302-H302</f>
        <v>812.74000001000002</v>
      </c>
      <c r="L302" s="10">
        <f>G302/F302</f>
        <v>1.9765970904490828E-4</v>
      </c>
      <c r="M302" s="14">
        <f>IFERROR(ROUND(I302/G302,2),0)</f>
        <v>0.4</v>
      </c>
      <c r="N302" s="11">
        <f>IFERROR(H302/G302,0)</f>
        <v>1.4903999995999999</v>
      </c>
      <c r="O302" s="11">
        <f>IFERROR(H302/I302,0)</f>
        <v>3.7259999989999999</v>
      </c>
      <c r="P302" s="11">
        <f>IFERROR((J302-H302)/H302,0)</f>
        <v>21.812667746326536</v>
      </c>
    </row>
    <row r="303" spans="1:16">
      <c r="A303">
        <v>1121755</v>
      </c>
      <c r="B303" t="s">
        <v>162</v>
      </c>
      <c r="C303" t="s">
        <v>0</v>
      </c>
      <c r="D303" t="s">
        <v>5</v>
      </c>
      <c r="E303" s="14">
        <v>16</v>
      </c>
      <c r="F303" s="14">
        <v>178455</v>
      </c>
      <c r="G303" s="14">
        <v>20</v>
      </c>
      <c r="H303" s="13">
        <v>31.540000200000001</v>
      </c>
      <c r="I303" s="14">
        <v>10</v>
      </c>
      <c r="J303" s="11">
        <f>I303*85</f>
        <v>850</v>
      </c>
      <c r="K303" s="11">
        <f>J303-H303</f>
        <v>818.45999979999999</v>
      </c>
      <c r="L303" s="10">
        <f>G303/F303</f>
        <v>1.1207307164271105E-4</v>
      </c>
      <c r="M303" s="14">
        <f>IFERROR(ROUND(I303/G303,2),0)</f>
        <v>0.5</v>
      </c>
      <c r="N303" s="11">
        <f>IFERROR(H303/G303,0)</f>
        <v>1.5770000100000001</v>
      </c>
      <c r="O303" s="11">
        <f>IFERROR(H303/I303,0)</f>
        <v>3.1540000200000002</v>
      </c>
      <c r="P303" s="11">
        <f>IFERROR((J303-H303)/H303,0)</f>
        <v>25.949904711795149</v>
      </c>
    </row>
    <row r="304" spans="1:16">
      <c r="A304">
        <v>1121768</v>
      </c>
      <c r="B304" t="s">
        <v>162</v>
      </c>
      <c r="C304" t="s">
        <v>0</v>
      </c>
      <c r="D304" t="s">
        <v>5</v>
      </c>
      <c r="E304" s="14">
        <v>19</v>
      </c>
      <c r="F304" s="14">
        <v>565565</v>
      </c>
      <c r="G304" s="14">
        <v>113</v>
      </c>
      <c r="H304" s="13">
        <v>169.66999820000001</v>
      </c>
      <c r="I304" s="14">
        <v>10</v>
      </c>
      <c r="J304" s="11">
        <f>I304*85</f>
        <v>850</v>
      </c>
      <c r="K304" s="11">
        <f>J304-H304</f>
        <v>680.33000179999999</v>
      </c>
      <c r="L304" s="10">
        <f>G304/F304</f>
        <v>1.998001998001998E-4</v>
      </c>
      <c r="M304" s="14">
        <f>IFERROR(ROUND(I304/G304,2),0)</f>
        <v>0.09</v>
      </c>
      <c r="N304" s="11">
        <f>IFERROR(H304/G304,0)</f>
        <v>1.5015044088495575</v>
      </c>
      <c r="O304" s="11">
        <f>IFERROR(H304/I304,0)</f>
        <v>16.966999820000002</v>
      </c>
      <c r="P304" s="11">
        <f>IFERROR((J304-H304)/H304,0)</f>
        <v>4.0097248129752145</v>
      </c>
    </row>
    <row r="305" spans="1:16">
      <c r="A305">
        <v>1121816</v>
      </c>
      <c r="B305" t="s">
        <v>162</v>
      </c>
      <c r="C305" t="s">
        <v>0</v>
      </c>
      <c r="D305" t="s">
        <v>5</v>
      </c>
      <c r="E305" s="14">
        <v>27</v>
      </c>
      <c r="F305" s="14">
        <v>259984</v>
      </c>
      <c r="G305" s="14">
        <v>37</v>
      </c>
      <c r="H305" s="13">
        <v>54.790000200000001</v>
      </c>
      <c r="I305" s="14">
        <v>10</v>
      </c>
      <c r="J305" s="11">
        <f>I305*85</f>
        <v>850</v>
      </c>
      <c r="K305" s="11">
        <f>J305-H305</f>
        <v>795.20999979999999</v>
      </c>
      <c r="L305" s="10">
        <f>G305/F305</f>
        <v>1.4231645024309188E-4</v>
      </c>
      <c r="M305" s="14">
        <f>IFERROR(ROUND(I305/G305,2),0)</f>
        <v>0.27</v>
      </c>
      <c r="N305" s="11">
        <f>IFERROR(H305/G305,0)</f>
        <v>1.4808108162162164</v>
      </c>
      <c r="O305" s="11">
        <f>IFERROR(H305/I305,0)</f>
        <v>5.47900002</v>
      </c>
      <c r="P305" s="11">
        <f>IFERROR((J305-H305)/H305,0)</f>
        <v>14.513779830210696</v>
      </c>
    </row>
    <row r="306" spans="1:16">
      <c r="A306">
        <v>1121902</v>
      </c>
      <c r="B306" t="s">
        <v>162</v>
      </c>
      <c r="C306" t="s">
        <v>2</v>
      </c>
      <c r="D306" t="s">
        <v>5</v>
      </c>
      <c r="E306" s="14">
        <v>16</v>
      </c>
      <c r="F306" s="14">
        <v>682143</v>
      </c>
      <c r="G306" s="14">
        <v>114</v>
      </c>
      <c r="H306" s="13">
        <v>177.1099993</v>
      </c>
      <c r="I306" s="14">
        <v>10</v>
      </c>
      <c r="J306" s="11">
        <f>I306*85</f>
        <v>850</v>
      </c>
      <c r="K306" s="11">
        <f>J306-H306</f>
        <v>672.89000069999997</v>
      </c>
      <c r="L306" s="10">
        <f>G306/F306</f>
        <v>1.6712038384913427E-4</v>
      </c>
      <c r="M306" s="14">
        <f>IFERROR(ROUND(I306/G306,2),0)</f>
        <v>0.09</v>
      </c>
      <c r="N306" s="11">
        <f>IFERROR(H306/G306,0)</f>
        <v>1.5535964850877193</v>
      </c>
      <c r="O306" s="11">
        <f>IFERROR(H306/I306,0)</f>
        <v>17.71099993</v>
      </c>
      <c r="P306" s="11">
        <f>IFERROR((J306-H306)/H306,0)</f>
        <v>3.7992773042713233</v>
      </c>
    </row>
    <row r="307" spans="1:16">
      <c r="A307">
        <v>1122003</v>
      </c>
      <c r="B307" t="s">
        <v>162</v>
      </c>
      <c r="C307" t="s">
        <v>2</v>
      </c>
      <c r="D307" t="s">
        <v>5</v>
      </c>
      <c r="E307" s="14">
        <v>63</v>
      </c>
      <c r="F307" s="14">
        <v>975792</v>
      </c>
      <c r="G307" s="14">
        <v>210</v>
      </c>
      <c r="H307" s="13">
        <v>293.88000110000002</v>
      </c>
      <c r="I307" s="14">
        <v>10</v>
      </c>
      <c r="J307" s="11">
        <f>I307*85</f>
        <v>850</v>
      </c>
      <c r="K307" s="11">
        <f>J307-H307</f>
        <v>556.11999889999993</v>
      </c>
      <c r="L307" s="10">
        <f>G307/F307</f>
        <v>2.1520979880958237E-4</v>
      </c>
      <c r="M307" s="14">
        <f>IFERROR(ROUND(I307/G307,2),0)</f>
        <v>0.05</v>
      </c>
      <c r="N307" s="11">
        <f>IFERROR(H307/G307,0)</f>
        <v>1.3994285766666668</v>
      </c>
      <c r="O307" s="11">
        <f>IFERROR(H307/I307,0)</f>
        <v>29.38800011</v>
      </c>
      <c r="P307" s="11">
        <f>IFERROR((J307-H307)/H307,0)</f>
        <v>1.8923369974766204</v>
      </c>
    </row>
    <row r="308" spans="1:16">
      <c r="A308">
        <v>1122113</v>
      </c>
      <c r="B308" t="s">
        <v>162</v>
      </c>
      <c r="C308" t="s">
        <v>3</v>
      </c>
      <c r="D308" t="s">
        <v>5</v>
      </c>
      <c r="E308" s="14">
        <v>27</v>
      </c>
      <c r="F308" s="14">
        <v>913929</v>
      </c>
      <c r="G308" s="14">
        <v>245</v>
      </c>
      <c r="H308" s="13">
        <v>340.40999929999998</v>
      </c>
      <c r="I308" s="14">
        <v>10</v>
      </c>
      <c r="J308" s="11">
        <f>I308*85</f>
        <v>850</v>
      </c>
      <c r="K308" s="11">
        <f>J308-H308</f>
        <v>509.59000070000002</v>
      </c>
      <c r="L308" s="10">
        <f>G308/F308</f>
        <v>2.6807334048925026E-4</v>
      </c>
      <c r="M308" s="14">
        <f>IFERROR(ROUND(I308/G308,2),0)</f>
        <v>0.04</v>
      </c>
      <c r="N308" s="11">
        <f>IFERROR(H308/G308,0)</f>
        <v>1.3894285685714285</v>
      </c>
      <c r="O308" s="11">
        <f>IFERROR(H308/I308,0)</f>
        <v>34.040999929999998</v>
      </c>
      <c r="P308" s="11">
        <f>IFERROR((J308-H308)/H308,0)</f>
        <v>1.4969889302543764</v>
      </c>
    </row>
    <row r="309" spans="1:16">
      <c r="A309">
        <v>1122253</v>
      </c>
      <c r="B309" t="s">
        <v>162</v>
      </c>
      <c r="C309" t="s">
        <v>4</v>
      </c>
      <c r="D309" t="s">
        <v>5</v>
      </c>
      <c r="E309" s="14">
        <v>25</v>
      </c>
      <c r="F309" s="14">
        <v>449921</v>
      </c>
      <c r="G309" s="14">
        <v>129</v>
      </c>
      <c r="H309" s="13">
        <v>175.9700005</v>
      </c>
      <c r="I309" s="14">
        <v>10</v>
      </c>
      <c r="J309" s="11">
        <f>I309*85</f>
        <v>850</v>
      </c>
      <c r="K309" s="11">
        <f>J309-H309</f>
        <v>674.02999950000003</v>
      </c>
      <c r="L309" s="10">
        <f>G309/F309</f>
        <v>2.8671700142913976E-4</v>
      </c>
      <c r="M309" s="14">
        <f>IFERROR(ROUND(I309/G309,2),0)</f>
        <v>0.08</v>
      </c>
      <c r="N309" s="11">
        <f>IFERROR(H309/G309,0)</f>
        <v>1.3641085310077519</v>
      </c>
      <c r="O309" s="11">
        <f>IFERROR(H309/I309,0)</f>
        <v>17.597000049999998</v>
      </c>
      <c r="P309" s="11">
        <f>IFERROR((J309-H309)/H309,0)</f>
        <v>3.8303687991408517</v>
      </c>
    </row>
    <row r="310" spans="1:16">
      <c r="A310">
        <v>1314301</v>
      </c>
      <c r="B310" t="s">
        <v>162</v>
      </c>
      <c r="C310" t="s">
        <v>0</v>
      </c>
      <c r="D310" t="s">
        <v>1</v>
      </c>
      <c r="E310" s="14">
        <v>105</v>
      </c>
      <c r="F310" s="14">
        <v>312524</v>
      </c>
      <c r="G310" s="14">
        <v>37</v>
      </c>
      <c r="H310" s="13">
        <v>53.789999719999997</v>
      </c>
      <c r="I310" s="14">
        <v>10</v>
      </c>
      <c r="J310" s="11">
        <f>I310*85</f>
        <v>850</v>
      </c>
      <c r="K310" s="11">
        <f>J310-H310</f>
        <v>796.21000028000003</v>
      </c>
      <c r="L310" s="10">
        <f>G310/F310</f>
        <v>1.1839090757829799E-4</v>
      </c>
      <c r="M310" s="14">
        <f>IFERROR(ROUND(I310/G310,2),0)</f>
        <v>0.27</v>
      </c>
      <c r="N310" s="11">
        <f>IFERROR(H310/G310,0)</f>
        <v>1.4537837762162162</v>
      </c>
      <c r="O310" s="11">
        <f>IFERROR(H310/I310,0)</f>
        <v>5.3789999719999999</v>
      </c>
      <c r="P310" s="11">
        <f>IFERROR((J310-H310)/H310,0)</f>
        <v>14.802193798561337</v>
      </c>
    </row>
    <row r="311" spans="1:16">
      <c r="A311">
        <v>1314321</v>
      </c>
      <c r="B311" t="s">
        <v>162</v>
      </c>
      <c r="C311" t="s">
        <v>2</v>
      </c>
      <c r="D311" t="s">
        <v>1</v>
      </c>
      <c r="E311" s="14">
        <v>110</v>
      </c>
      <c r="F311" s="14">
        <v>233845</v>
      </c>
      <c r="G311" s="14">
        <v>30</v>
      </c>
      <c r="H311" s="13">
        <v>40.730000619999998</v>
      </c>
      <c r="I311" s="14">
        <v>10</v>
      </c>
      <c r="J311" s="11">
        <f>I311*85</f>
        <v>850</v>
      </c>
      <c r="K311" s="11">
        <f>J311-H311</f>
        <v>809.26999937999994</v>
      </c>
      <c r="L311" s="10">
        <f>G311/F311</f>
        <v>1.2829010669460541E-4</v>
      </c>
      <c r="M311" s="14">
        <f>IFERROR(ROUND(I311/G311,2),0)</f>
        <v>0.33</v>
      </c>
      <c r="N311" s="11">
        <f>IFERROR(H311/G311,0)</f>
        <v>1.3576666873333332</v>
      </c>
      <c r="O311" s="11">
        <f>IFERROR(H311/I311,0)</f>
        <v>4.0730000620000002</v>
      </c>
      <c r="P311" s="11">
        <f>IFERROR((J311-H311)/H311,0)</f>
        <v>19.869137909676763</v>
      </c>
    </row>
    <row r="312" spans="1:16">
      <c r="A312">
        <v>1314331</v>
      </c>
      <c r="B312" t="s">
        <v>162</v>
      </c>
      <c r="C312" t="s">
        <v>3</v>
      </c>
      <c r="D312" t="s">
        <v>1</v>
      </c>
      <c r="E312" s="14">
        <v>105</v>
      </c>
      <c r="F312" s="14">
        <v>137879</v>
      </c>
      <c r="G312" s="14">
        <v>19</v>
      </c>
      <c r="H312" s="13">
        <v>28.470000030000001</v>
      </c>
      <c r="I312" s="14">
        <v>10</v>
      </c>
      <c r="J312" s="11">
        <f>I312*85</f>
        <v>850</v>
      </c>
      <c r="K312" s="11">
        <f>J312-H312</f>
        <v>821.52999996999995</v>
      </c>
      <c r="L312" s="10">
        <f>G312/F312</f>
        <v>1.3780198579914273E-4</v>
      </c>
      <c r="M312" s="14">
        <f>IFERROR(ROUND(I312/G312,2),0)</f>
        <v>0.53</v>
      </c>
      <c r="N312" s="11">
        <f>IFERROR(H312/G312,0)</f>
        <v>1.4984210542105263</v>
      </c>
      <c r="O312" s="11">
        <f>IFERROR(H312/I312,0)</f>
        <v>2.8470000030000002</v>
      </c>
      <c r="P312" s="11">
        <f>IFERROR((J312-H312)/H312,0)</f>
        <v>28.855988728637872</v>
      </c>
    </row>
    <row r="313" spans="1:16">
      <c r="A313">
        <v>1314332</v>
      </c>
      <c r="B313" t="s">
        <v>162</v>
      </c>
      <c r="C313" t="s">
        <v>3</v>
      </c>
      <c r="D313" t="s">
        <v>1</v>
      </c>
      <c r="E313" s="14">
        <v>106</v>
      </c>
      <c r="F313" s="14">
        <v>67710</v>
      </c>
      <c r="G313" s="14">
        <v>10</v>
      </c>
      <c r="H313" s="13">
        <v>15.14999998</v>
      </c>
      <c r="I313" s="14">
        <v>10</v>
      </c>
      <c r="J313" s="11">
        <f>I313*85</f>
        <v>850</v>
      </c>
      <c r="K313" s="11">
        <f>J313-H313</f>
        <v>834.85000002000004</v>
      </c>
      <c r="L313" s="10">
        <f>G313/F313</f>
        <v>1.4768867227883621E-4</v>
      </c>
      <c r="M313" s="14">
        <f>IFERROR(ROUND(I313/G313,2),0)</f>
        <v>1</v>
      </c>
      <c r="N313" s="11">
        <f>IFERROR(H313/G313,0)</f>
        <v>1.514999998</v>
      </c>
      <c r="O313" s="11">
        <f>IFERROR(H313/I313,0)</f>
        <v>1.514999998</v>
      </c>
      <c r="P313" s="11">
        <f>IFERROR((J313-H313)/H313,0)</f>
        <v>55.105610635122922</v>
      </c>
    </row>
    <row r="314" spans="1:16">
      <c r="A314">
        <v>1314337</v>
      </c>
      <c r="B314" t="s">
        <v>162</v>
      </c>
      <c r="C314" t="s">
        <v>3</v>
      </c>
      <c r="D314" t="s">
        <v>1</v>
      </c>
      <c r="E314" s="14">
        <v>111</v>
      </c>
      <c r="F314" s="14">
        <v>72157</v>
      </c>
      <c r="G314" s="14">
        <v>9</v>
      </c>
      <c r="H314" s="13">
        <v>13.50000036</v>
      </c>
      <c r="I314" s="14">
        <v>10</v>
      </c>
      <c r="J314" s="11">
        <f>I314*85</f>
        <v>850</v>
      </c>
      <c r="K314" s="11">
        <f>J314-H314</f>
        <v>836.49999964000006</v>
      </c>
      <c r="L314" s="10">
        <f>G314/F314</f>
        <v>1.2472802361517248E-4</v>
      </c>
      <c r="M314" s="14">
        <f>IFERROR(ROUND(I314/G314,2),0)</f>
        <v>1.1100000000000001</v>
      </c>
      <c r="N314" s="11">
        <f>IFERROR(H314/G314,0)</f>
        <v>1.50000004</v>
      </c>
      <c r="O314" s="11">
        <f>IFERROR(H314/I314,0)</f>
        <v>1.350000036</v>
      </c>
      <c r="P314" s="11">
        <f>IFERROR((J314-H314)/H314,0)</f>
        <v>61.962961283950669</v>
      </c>
    </row>
    <row r="315" spans="1:16">
      <c r="A315">
        <v>1314339</v>
      </c>
      <c r="B315" t="s">
        <v>162</v>
      </c>
      <c r="C315" t="s">
        <v>3</v>
      </c>
      <c r="D315" t="s">
        <v>1</v>
      </c>
      <c r="E315" s="14">
        <v>113</v>
      </c>
      <c r="F315" s="14">
        <v>86293</v>
      </c>
      <c r="G315" s="14">
        <v>6</v>
      </c>
      <c r="H315" s="13">
        <v>9.2599998709999998</v>
      </c>
      <c r="I315" s="14">
        <v>10</v>
      </c>
      <c r="J315" s="11">
        <f>I315*85</f>
        <v>850</v>
      </c>
      <c r="K315" s="11">
        <f>J315-H315</f>
        <v>840.74000012900001</v>
      </c>
      <c r="L315" s="10">
        <f>G315/F315</f>
        <v>6.9530552883779686E-5</v>
      </c>
      <c r="M315" s="14">
        <f>IFERROR(ROUND(I315/G315,2),0)</f>
        <v>1.67</v>
      </c>
      <c r="N315" s="11">
        <f>IFERROR(H315/G315,0)</f>
        <v>1.5433333118333332</v>
      </c>
      <c r="O315" s="11">
        <f>IFERROR(H315/I315,0)</f>
        <v>0.92599998709999998</v>
      </c>
      <c r="P315" s="11">
        <f>IFERROR((J315-H315)/H315,0)</f>
        <v>90.792657866226008</v>
      </c>
    </row>
    <row r="316" spans="1:16">
      <c r="A316">
        <v>1314346</v>
      </c>
      <c r="B316" t="s">
        <v>162</v>
      </c>
      <c r="C316" t="s">
        <v>4</v>
      </c>
      <c r="D316" t="s">
        <v>1</v>
      </c>
      <c r="E316" s="14">
        <v>105</v>
      </c>
      <c r="F316" s="14">
        <v>50406</v>
      </c>
      <c r="G316" s="14">
        <v>5</v>
      </c>
      <c r="H316" s="13">
        <v>7.26000011</v>
      </c>
      <c r="I316" s="14">
        <v>10</v>
      </c>
      <c r="J316" s="11">
        <f>I316*85</f>
        <v>850</v>
      </c>
      <c r="K316" s="11">
        <f>J316-H316</f>
        <v>842.73999989000004</v>
      </c>
      <c r="L316" s="10">
        <f>G316/F316</f>
        <v>9.9194540332500096E-5</v>
      </c>
      <c r="M316" s="14">
        <f>IFERROR(ROUND(I316/G316,2),0)</f>
        <v>2</v>
      </c>
      <c r="N316" s="11">
        <f>IFERROR(H316/G316,0)</f>
        <v>1.452000022</v>
      </c>
      <c r="O316" s="11">
        <f>IFERROR(H316/I316,0)</f>
        <v>0.726000011</v>
      </c>
      <c r="P316" s="11">
        <f>IFERROR((J316-H316)/H316,0)</f>
        <v>116.07988803322485</v>
      </c>
    </row>
    <row r="317" spans="1:16">
      <c r="A317">
        <v>1121097</v>
      </c>
      <c r="B317" t="s">
        <v>162</v>
      </c>
      <c r="C317" t="s">
        <v>0</v>
      </c>
      <c r="D317" t="s">
        <v>1</v>
      </c>
      <c r="E317" s="14">
        <v>15</v>
      </c>
      <c r="F317" s="14">
        <v>30068</v>
      </c>
      <c r="G317" s="14">
        <v>1</v>
      </c>
      <c r="H317" s="13">
        <v>1.8200000519999999</v>
      </c>
      <c r="I317" s="14">
        <v>9</v>
      </c>
      <c r="J317" s="11">
        <f>I317*85</f>
        <v>765</v>
      </c>
      <c r="K317" s="11">
        <f>J317-H317</f>
        <v>763.17999994800005</v>
      </c>
      <c r="L317" s="10">
        <f>G317/F317</f>
        <v>3.3257948649727285E-5</v>
      </c>
      <c r="M317" s="14">
        <f>IFERROR(ROUND(I317/G317,2),0)</f>
        <v>9</v>
      </c>
      <c r="N317" s="11">
        <f>IFERROR(H317/G317,0)</f>
        <v>1.8200000519999999</v>
      </c>
      <c r="O317" s="11">
        <f>IFERROR(H317/I317,0)</f>
        <v>0.202222228</v>
      </c>
      <c r="P317" s="11">
        <f>IFERROR((J317-H317)/H317,0)</f>
        <v>419.32965832025155</v>
      </c>
    </row>
    <row r="318" spans="1:16">
      <c r="A318">
        <v>1121114</v>
      </c>
      <c r="B318" t="s">
        <v>162</v>
      </c>
      <c r="C318" t="s">
        <v>0</v>
      </c>
      <c r="D318" t="s">
        <v>1</v>
      </c>
      <c r="E318" s="14">
        <v>18</v>
      </c>
      <c r="F318" s="14">
        <v>31349</v>
      </c>
      <c r="G318" s="14">
        <v>2</v>
      </c>
      <c r="H318" s="13">
        <v>3.800000072</v>
      </c>
      <c r="I318" s="14">
        <v>9</v>
      </c>
      <c r="J318" s="11">
        <f>I318*85</f>
        <v>765</v>
      </c>
      <c r="K318" s="11">
        <f>J318-H318</f>
        <v>761.19999992800001</v>
      </c>
      <c r="L318" s="10">
        <f>G318/F318</f>
        <v>6.3797888289897611E-5</v>
      </c>
      <c r="M318" s="14">
        <f>IFERROR(ROUND(I318/G318,2),0)</f>
        <v>4.5</v>
      </c>
      <c r="N318" s="11">
        <f>IFERROR(H318/G318,0)</f>
        <v>1.900000036</v>
      </c>
      <c r="O318" s="11">
        <f>IFERROR(H318/I318,0)</f>
        <v>0.42222223022222222</v>
      </c>
      <c r="P318" s="11">
        <f>IFERROR((J318-H318)/H318,0)</f>
        <v>200.31578565927984</v>
      </c>
    </row>
    <row r="319" spans="1:16">
      <c r="A319">
        <v>1121133</v>
      </c>
      <c r="B319" t="s">
        <v>162</v>
      </c>
      <c r="C319" t="s">
        <v>0</v>
      </c>
      <c r="D319" t="s">
        <v>1</v>
      </c>
      <c r="E319" s="14">
        <v>22</v>
      </c>
      <c r="F319" s="14">
        <v>25002</v>
      </c>
      <c r="G319" s="14">
        <v>1</v>
      </c>
      <c r="H319" s="13">
        <v>1.710000038</v>
      </c>
      <c r="I319" s="14">
        <v>9</v>
      </c>
      <c r="J319" s="11">
        <f>I319*85</f>
        <v>765</v>
      </c>
      <c r="K319" s="11">
        <f>J319-H319</f>
        <v>763.28999996200002</v>
      </c>
      <c r="L319" s="10">
        <f>G319/F319</f>
        <v>3.9996800255979519E-5</v>
      </c>
      <c r="M319" s="14">
        <f>IFERROR(ROUND(I319/G319,2),0)</f>
        <v>9</v>
      </c>
      <c r="N319" s="11">
        <f>IFERROR(H319/G319,0)</f>
        <v>1.710000038</v>
      </c>
      <c r="O319" s="11">
        <f>IFERROR(H319/I319,0)</f>
        <v>0.19000000422222221</v>
      </c>
      <c r="P319" s="11">
        <f>IFERROR((J319-H319)/H319,0)</f>
        <v>446.36841111111136</v>
      </c>
    </row>
    <row r="320" spans="1:16">
      <c r="A320">
        <v>1121136</v>
      </c>
      <c r="B320" t="s">
        <v>162</v>
      </c>
      <c r="C320" t="s">
        <v>0</v>
      </c>
      <c r="D320" t="s">
        <v>1</v>
      </c>
      <c r="E320" s="14">
        <v>22</v>
      </c>
      <c r="F320" s="14">
        <v>169588</v>
      </c>
      <c r="G320" s="14">
        <v>16</v>
      </c>
      <c r="H320" s="13">
        <v>27.799999239999998</v>
      </c>
      <c r="I320" s="14">
        <v>9</v>
      </c>
      <c r="J320" s="11">
        <f>I320*85</f>
        <v>765</v>
      </c>
      <c r="K320" s="11">
        <f>J320-H320</f>
        <v>737.20000075999997</v>
      </c>
      <c r="L320" s="10">
        <f>G320/F320</f>
        <v>9.43462980871288E-5</v>
      </c>
      <c r="M320" s="14">
        <f>IFERROR(ROUND(I320/G320,2),0)</f>
        <v>0.56000000000000005</v>
      </c>
      <c r="N320" s="11">
        <f>IFERROR(H320/G320,0)</f>
        <v>1.7374999524999999</v>
      </c>
      <c r="O320" s="11">
        <f>IFERROR(H320/I320,0)</f>
        <v>3.0888888044444442</v>
      </c>
      <c r="P320" s="11">
        <f>IFERROR((J320-H320)/H320,0)</f>
        <v>26.517986363801068</v>
      </c>
    </row>
    <row r="321" spans="1:16">
      <c r="A321">
        <v>1121141</v>
      </c>
      <c r="B321" t="s">
        <v>162</v>
      </c>
      <c r="C321" t="s">
        <v>0</v>
      </c>
      <c r="D321" t="s">
        <v>1</v>
      </c>
      <c r="E321" s="14">
        <v>23</v>
      </c>
      <c r="F321" s="14">
        <v>23198</v>
      </c>
      <c r="G321" s="14">
        <v>2</v>
      </c>
      <c r="H321" s="13">
        <v>2.9800000190000002</v>
      </c>
      <c r="I321" s="14">
        <v>9</v>
      </c>
      <c r="J321" s="11">
        <f>I321*85</f>
        <v>765</v>
      </c>
      <c r="K321" s="11">
        <f>J321-H321</f>
        <v>762.01999998099996</v>
      </c>
      <c r="L321" s="10">
        <f>G321/F321</f>
        <v>8.6214328821450129E-5</v>
      </c>
      <c r="M321" s="14">
        <f>IFERROR(ROUND(I321/G321,2),0)</f>
        <v>4.5</v>
      </c>
      <c r="N321" s="11">
        <f>IFERROR(H321/G321,0)</f>
        <v>1.4900000095000001</v>
      </c>
      <c r="O321" s="11">
        <f>IFERROR(H321/I321,0)</f>
        <v>0.33111111322222225</v>
      </c>
      <c r="P321" s="11">
        <f>IFERROR((J321-H321)/H321,0)</f>
        <v>255.71140775922254</v>
      </c>
    </row>
    <row r="322" spans="1:16">
      <c r="A322">
        <v>1121152</v>
      </c>
      <c r="B322" t="s">
        <v>162</v>
      </c>
      <c r="C322" t="s">
        <v>0</v>
      </c>
      <c r="D322" t="s">
        <v>1</v>
      </c>
      <c r="E322" s="14">
        <v>24</v>
      </c>
      <c r="F322" s="14">
        <v>88443</v>
      </c>
      <c r="G322" s="14">
        <v>7</v>
      </c>
      <c r="H322" s="13">
        <v>13.0400002</v>
      </c>
      <c r="I322" s="14">
        <v>9</v>
      </c>
      <c r="J322" s="11">
        <f>I322*85</f>
        <v>765</v>
      </c>
      <c r="K322" s="11">
        <f>J322-H322</f>
        <v>751.95999979999999</v>
      </c>
      <c r="L322" s="10">
        <f>G322/F322</f>
        <v>7.9147021245321847E-5</v>
      </c>
      <c r="M322" s="14">
        <f>IFERROR(ROUND(I322/G322,2),0)</f>
        <v>1.29</v>
      </c>
      <c r="N322" s="11">
        <f>IFERROR(H322/G322,0)</f>
        <v>1.8628571714285713</v>
      </c>
      <c r="O322" s="11">
        <f>IFERROR(H322/I322,0)</f>
        <v>1.4488889111111112</v>
      </c>
      <c r="P322" s="11">
        <f>IFERROR((J322-H322)/H322,0)</f>
        <v>57.665643271999336</v>
      </c>
    </row>
    <row r="323" spans="1:16">
      <c r="A323">
        <v>1121168</v>
      </c>
      <c r="B323" t="s">
        <v>162</v>
      </c>
      <c r="C323" t="s">
        <v>0</v>
      </c>
      <c r="D323" t="s">
        <v>1</v>
      </c>
      <c r="E323" s="14">
        <v>25</v>
      </c>
      <c r="F323" s="14">
        <v>50523</v>
      </c>
      <c r="G323" s="14">
        <v>6</v>
      </c>
      <c r="H323" s="13">
        <v>8.5499999520000003</v>
      </c>
      <c r="I323" s="14">
        <v>9</v>
      </c>
      <c r="J323" s="11">
        <f>I323*85</f>
        <v>765</v>
      </c>
      <c r="K323" s="11">
        <f>J323-H323</f>
        <v>756.45000004799999</v>
      </c>
      <c r="L323" s="10">
        <f>G323/F323</f>
        <v>1.1875779348019714E-4</v>
      </c>
      <c r="M323" s="14">
        <f>IFERROR(ROUND(I323/G323,2),0)</f>
        <v>1.5</v>
      </c>
      <c r="N323" s="11">
        <f>IFERROR(H323/G323,0)</f>
        <v>1.424999992</v>
      </c>
      <c r="O323" s="11">
        <f>IFERROR(H323/I323,0)</f>
        <v>0.94999999466666674</v>
      </c>
      <c r="P323" s="11">
        <f>IFERROR((J323-H323)/H323,0)</f>
        <v>88.473684712834711</v>
      </c>
    </row>
    <row r="324" spans="1:16">
      <c r="A324">
        <v>1121172</v>
      </c>
      <c r="B324" t="s">
        <v>162</v>
      </c>
      <c r="C324" t="s">
        <v>0</v>
      </c>
      <c r="D324" t="s">
        <v>1</v>
      </c>
      <c r="E324" s="14">
        <v>26</v>
      </c>
      <c r="F324" s="14">
        <v>87935</v>
      </c>
      <c r="G324" s="14">
        <v>9</v>
      </c>
      <c r="H324" s="13">
        <v>15.63000023</v>
      </c>
      <c r="I324" s="14">
        <v>9</v>
      </c>
      <c r="J324" s="11">
        <f>I324*85</f>
        <v>765</v>
      </c>
      <c r="K324" s="11">
        <f>J324-H324</f>
        <v>749.36999977000005</v>
      </c>
      <c r="L324" s="10">
        <f>G324/F324</f>
        <v>1.0234832546767499E-4</v>
      </c>
      <c r="M324" s="14">
        <f>IFERROR(ROUND(I324/G324,2),0)</f>
        <v>1</v>
      </c>
      <c r="N324" s="11">
        <f>IFERROR(H324/G324,0)</f>
        <v>1.7366666922222223</v>
      </c>
      <c r="O324" s="11">
        <f>IFERROR(H324/I324,0)</f>
        <v>1.7366666922222223</v>
      </c>
      <c r="P324" s="11">
        <f>IFERROR((J324-H324)/H324,0)</f>
        <v>47.944337091670029</v>
      </c>
    </row>
    <row r="325" spans="1:16">
      <c r="A325">
        <v>1121175</v>
      </c>
      <c r="B325" t="s">
        <v>162</v>
      </c>
      <c r="C325" t="s">
        <v>0</v>
      </c>
      <c r="D325" t="s">
        <v>1</v>
      </c>
      <c r="E325" s="14">
        <v>26</v>
      </c>
      <c r="F325" s="14">
        <v>209461</v>
      </c>
      <c r="G325" s="14">
        <v>20</v>
      </c>
      <c r="H325" s="13">
        <v>34.190000060000003</v>
      </c>
      <c r="I325" s="14">
        <v>9</v>
      </c>
      <c r="J325" s="11">
        <f>I325*85</f>
        <v>765</v>
      </c>
      <c r="K325" s="11">
        <f>J325-H325</f>
        <v>730.80999994000001</v>
      </c>
      <c r="L325" s="10">
        <f>G325/F325</f>
        <v>9.5483168704436631E-5</v>
      </c>
      <c r="M325" s="14">
        <f>IFERROR(ROUND(I325/G325,2),0)</f>
        <v>0.45</v>
      </c>
      <c r="N325" s="11">
        <f>IFERROR(H325/G325,0)</f>
        <v>1.709500003</v>
      </c>
      <c r="O325" s="11">
        <f>IFERROR(H325/I325,0)</f>
        <v>3.7988888955555558</v>
      </c>
      <c r="P325" s="11">
        <f>IFERROR((J325-H325)/H325,0)</f>
        <v>21.374963400336419</v>
      </c>
    </row>
    <row r="326" spans="1:16">
      <c r="A326">
        <v>1121184</v>
      </c>
      <c r="B326" t="s">
        <v>162</v>
      </c>
      <c r="C326" t="s">
        <v>0</v>
      </c>
      <c r="D326" t="s">
        <v>1</v>
      </c>
      <c r="E326" s="14">
        <v>27</v>
      </c>
      <c r="F326" s="14">
        <v>283858</v>
      </c>
      <c r="G326" s="14">
        <v>30</v>
      </c>
      <c r="H326" s="13">
        <v>56.059999230000003</v>
      </c>
      <c r="I326" s="14">
        <v>9</v>
      </c>
      <c r="J326" s="11">
        <f>I326*85</f>
        <v>765</v>
      </c>
      <c r="K326" s="11">
        <f>J326-H326</f>
        <v>708.94000076999998</v>
      </c>
      <c r="L326" s="10">
        <f>G326/F326</f>
        <v>1.0568664613997139E-4</v>
      </c>
      <c r="M326" s="14">
        <f>IFERROR(ROUND(I326/G326,2),0)</f>
        <v>0.3</v>
      </c>
      <c r="N326" s="11">
        <f>IFERROR(H326/G326,0)</f>
        <v>1.8686666410000001</v>
      </c>
      <c r="O326" s="11">
        <f>IFERROR(H326/I326,0)</f>
        <v>6.2288888033333336</v>
      </c>
      <c r="P326" s="11">
        <f>IFERROR((J326-H326)/H326,0)</f>
        <v>12.646093658713736</v>
      </c>
    </row>
    <row r="327" spans="1:16">
      <c r="A327">
        <v>1121195</v>
      </c>
      <c r="B327" t="s">
        <v>162</v>
      </c>
      <c r="C327" t="s">
        <v>0</v>
      </c>
      <c r="D327" t="s">
        <v>1</v>
      </c>
      <c r="E327" s="14">
        <v>28</v>
      </c>
      <c r="F327" s="14">
        <v>38757</v>
      </c>
      <c r="G327" s="14">
        <v>3</v>
      </c>
      <c r="H327" s="13">
        <v>5.2200000290000004</v>
      </c>
      <c r="I327" s="14">
        <v>9</v>
      </c>
      <c r="J327" s="11">
        <f>I327*85</f>
        <v>765</v>
      </c>
      <c r="K327" s="11">
        <f>J327-H327</f>
        <v>759.77999997100005</v>
      </c>
      <c r="L327" s="10">
        <f>G327/F327</f>
        <v>7.740537193281214E-5</v>
      </c>
      <c r="M327" s="14">
        <f>IFERROR(ROUND(I327/G327,2),0)</f>
        <v>3</v>
      </c>
      <c r="N327" s="11">
        <f>IFERROR(H327/G327,0)</f>
        <v>1.7400000096666668</v>
      </c>
      <c r="O327" s="11">
        <f>IFERROR(H327/I327,0)</f>
        <v>0.58000000322222223</v>
      </c>
      <c r="P327" s="11">
        <f>IFERROR((J327-H327)/H327,0)</f>
        <v>145.5517233237548</v>
      </c>
    </row>
    <row r="328" spans="1:16">
      <c r="A328">
        <v>1121223</v>
      </c>
      <c r="B328" t="s">
        <v>162</v>
      </c>
      <c r="C328" t="s">
        <v>0</v>
      </c>
      <c r="D328" t="s">
        <v>1</v>
      </c>
      <c r="E328" s="14">
        <v>31</v>
      </c>
      <c r="F328" s="14">
        <v>64020</v>
      </c>
      <c r="G328" s="14">
        <v>5</v>
      </c>
      <c r="H328" s="13">
        <v>11.059999700000001</v>
      </c>
      <c r="I328" s="14">
        <v>9</v>
      </c>
      <c r="J328" s="11">
        <f>I328*85</f>
        <v>765</v>
      </c>
      <c r="K328" s="11">
        <f>J328-H328</f>
        <v>753.94000029999995</v>
      </c>
      <c r="L328" s="10">
        <f>G328/F328</f>
        <v>7.8100593564511088E-5</v>
      </c>
      <c r="M328" s="14">
        <f>IFERROR(ROUND(I328/G328,2),0)</f>
        <v>1.8</v>
      </c>
      <c r="N328" s="11">
        <f>IFERROR(H328/G328,0)</f>
        <v>2.2119999400000001</v>
      </c>
      <c r="O328" s="11">
        <f>IFERROR(H328/I328,0)</f>
        <v>1.2288888555555557</v>
      </c>
      <c r="P328" s="11">
        <f>IFERROR((J328-H328)/H328,0)</f>
        <v>68.168175474724464</v>
      </c>
    </row>
    <row r="329" spans="1:16">
      <c r="A329">
        <v>1121233</v>
      </c>
      <c r="B329" t="s">
        <v>162</v>
      </c>
      <c r="C329" t="s">
        <v>0</v>
      </c>
      <c r="D329" t="s">
        <v>1</v>
      </c>
      <c r="E329" s="14">
        <v>32</v>
      </c>
      <c r="F329" s="14">
        <v>57690</v>
      </c>
      <c r="G329" s="14">
        <v>4</v>
      </c>
      <c r="H329" s="13">
        <v>6.7400000100000002</v>
      </c>
      <c r="I329" s="14">
        <v>9</v>
      </c>
      <c r="J329" s="11">
        <f>I329*85</f>
        <v>765</v>
      </c>
      <c r="K329" s="11">
        <f>J329-H329</f>
        <v>758.25999998999998</v>
      </c>
      <c r="L329" s="10">
        <f>G329/F329</f>
        <v>6.9336106777604433E-5</v>
      </c>
      <c r="M329" s="14">
        <f>IFERROR(ROUND(I329/G329,2),0)</f>
        <v>2.25</v>
      </c>
      <c r="N329" s="11">
        <f>IFERROR(H329/G329,0)</f>
        <v>1.6850000025</v>
      </c>
      <c r="O329" s="11">
        <f>IFERROR(H329/I329,0)</f>
        <v>0.74888889000000003</v>
      </c>
      <c r="P329" s="11">
        <f>IFERROR((J329-H329)/H329,0)</f>
        <v>112.50148351112539</v>
      </c>
    </row>
    <row r="330" spans="1:16">
      <c r="A330">
        <v>1121242</v>
      </c>
      <c r="B330" t="s">
        <v>162</v>
      </c>
      <c r="C330" t="s">
        <v>0</v>
      </c>
      <c r="D330" t="s">
        <v>1</v>
      </c>
      <c r="E330" s="14">
        <v>36</v>
      </c>
      <c r="F330" s="14">
        <v>38900</v>
      </c>
      <c r="G330" s="14">
        <v>3</v>
      </c>
      <c r="H330" s="13">
        <v>5.5800000430000001</v>
      </c>
      <c r="I330" s="14">
        <v>9</v>
      </c>
      <c r="J330" s="11">
        <f>I330*85</f>
        <v>765</v>
      </c>
      <c r="K330" s="11">
        <f>J330-H330</f>
        <v>759.41999995699996</v>
      </c>
      <c r="L330" s="10">
        <f>G330/F330</f>
        <v>7.7120822622107972E-5</v>
      </c>
      <c r="M330" s="14">
        <f>IFERROR(ROUND(I330/G330,2),0)</f>
        <v>3</v>
      </c>
      <c r="N330" s="11">
        <f>IFERROR(H330/G330,0)</f>
        <v>1.8600000143333333</v>
      </c>
      <c r="O330" s="11">
        <f>IFERROR(H330/I330,0)</f>
        <v>0.62000000477777784</v>
      </c>
      <c r="P330" s="11">
        <f>IFERROR((J330-H330)/H330,0)</f>
        <v>136.09677313706786</v>
      </c>
    </row>
    <row r="331" spans="1:16">
      <c r="A331">
        <v>1121245</v>
      </c>
      <c r="B331" t="s">
        <v>162</v>
      </c>
      <c r="C331" t="s">
        <v>0</v>
      </c>
      <c r="D331" t="s">
        <v>1</v>
      </c>
      <c r="E331" s="14">
        <v>36</v>
      </c>
      <c r="F331" s="14">
        <v>29185</v>
      </c>
      <c r="G331" s="14">
        <v>2</v>
      </c>
      <c r="H331" s="13">
        <v>3.1499999760000001</v>
      </c>
      <c r="I331" s="14">
        <v>9</v>
      </c>
      <c r="J331" s="11">
        <f>I331*85</f>
        <v>765</v>
      </c>
      <c r="K331" s="11">
        <f>J331-H331</f>
        <v>761.850000024</v>
      </c>
      <c r="L331" s="10">
        <f>G331/F331</f>
        <v>6.8528353606304602E-5</v>
      </c>
      <c r="M331" s="14">
        <f>IFERROR(ROUND(I331/G331,2),0)</f>
        <v>4.5</v>
      </c>
      <c r="N331" s="11">
        <f>IFERROR(H331/G331,0)</f>
        <v>1.5749999880000001</v>
      </c>
      <c r="O331" s="11">
        <f>IFERROR(H331/I331,0)</f>
        <v>0.34999999733333337</v>
      </c>
      <c r="P331" s="11">
        <f>IFERROR((J331-H331)/H331,0)</f>
        <v>241.857144707483</v>
      </c>
    </row>
    <row r="332" spans="1:16">
      <c r="A332">
        <v>1121255</v>
      </c>
      <c r="B332" t="s">
        <v>162</v>
      </c>
      <c r="C332" t="s">
        <v>0</v>
      </c>
      <c r="D332" t="s">
        <v>1</v>
      </c>
      <c r="E332" s="14">
        <v>63</v>
      </c>
      <c r="F332" s="14">
        <v>20423</v>
      </c>
      <c r="G332" s="14">
        <v>1</v>
      </c>
      <c r="H332" s="13">
        <v>1.960000038</v>
      </c>
      <c r="I332" s="14">
        <v>9</v>
      </c>
      <c r="J332" s="11">
        <f>I332*85</f>
        <v>765</v>
      </c>
      <c r="K332" s="11">
        <f>J332-H332</f>
        <v>763.03999996200002</v>
      </c>
      <c r="L332" s="10">
        <f>G332/F332</f>
        <v>4.8964402879106887E-5</v>
      </c>
      <c r="M332" s="14">
        <f>IFERROR(ROUND(I332/G332,2),0)</f>
        <v>9</v>
      </c>
      <c r="N332" s="11">
        <f>IFERROR(H332/G332,0)</f>
        <v>1.960000038</v>
      </c>
      <c r="O332" s="11">
        <f>IFERROR(H332/I332,0)</f>
        <v>0.217777782</v>
      </c>
      <c r="P332" s="11">
        <f>IFERROR((J332-H332)/H332,0)</f>
        <v>389.30611488182024</v>
      </c>
    </row>
    <row r="333" spans="1:16">
      <c r="A333">
        <v>1121261</v>
      </c>
      <c r="B333" t="s">
        <v>162</v>
      </c>
      <c r="C333" t="s">
        <v>0</v>
      </c>
      <c r="D333" t="s">
        <v>1</v>
      </c>
      <c r="E333" s="14">
        <v>64</v>
      </c>
      <c r="F333" s="14">
        <v>103001</v>
      </c>
      <c r="G333" s="14">
        <v>14</v>
      </c>
      <c r="H333" s="13">
        <v>22.320000050000001</v>
      </c>
      <c r="I333" s="14">
        <v>9</v>
      </c>
      <c r="J333" s="11">
        <f>I333*85</f>
        <v>765</v>
      </c>
      <c r="K333" s="11">
        <f>J333-H333</f>
        <v>742.67999995000002</v>
      </c>
      <c r="L333" s="10">
        <f>G333/F333</f>
        <v>1.3592101047562644E-4</v>
      </c>
      <c r="M333" s="14">
        <f>IFERROR(ROUND(I333/G333,2),0)</f>
        <v>0.64</v>
      </c>
      <c r="N333" s="11">
        <f>IFERROR(H333/G333,0)</f>
        <v>1.594285717857143</v>
      </c>
      <c r="O333" s="11">
        <f>IFERROR(H333/I333,0)</f>
        <v>2.4800000055555556</v>
      </c>
      <c r="P333" s="11">
        <f>IFERROR((J333-H333)/H333,0)</f>
        <v>33.274193471607987</v>
      </c>
    </row>
    <row r="334" spans="1:16">
      <c r="A334">
        <v>1121264</v>
      </c>
      <c r="B334" t="s">
        <v>162</v>
      </c>
      <c r="C334" t="s">
        <v>0</v>
      </c>
      <c r="D334" t="s">
        <v>1</v>
      </c>
      <c r="E334" s="14">
        <v>64</v>
      </c>
      <c r="F334" s="14">
        <v>93015</v>
      </c>
      <c r="G334" s="14">
        <v>12</v>
      </c>
      <c r="H334" s="13">
        <v>18.470000150000001</v>
      </c>
      <c r="I334" s="14">
        <v>9</v>
      </c>
      <c r="J334" s="11">
        <f>I334*85</f>
        <v>765</v>
      </c>
      <c r="K334" s="11">
        <f>J334-H334</f>
        <v>746.52999984999997</v>
      </c>
      <c r="L334" s="10">
        <f>G334/F334</f>
        <v>1.2901144976616675E-4</v>
      </c>
      <c r="M334" s="14">
        <f>IFERROR(ROUND(I334/G334,2),0)</f>
        <v>0.75</v>
      </c>
      <c r="N334" s="11">
        <f>IFERROR(H334/G334,0)</f>
        <v>1.5391666791666667</v>
      </c>
      <c r="O334" s="11">
        <f>IFERROR(H334/I334,0)</f>
        <v>2.0522222388888891</v>
      </c>
      <c r="P334" s="11">
        <f>IFERROR((J334-H334)/H334,0)</f>
        <v>40.418516176893476</v>
      </c>
    </row>
    <row r="335" spans="1:16">
      <c r="A335">
        <v>1121265</v>
      </c>
      <c r="B335" t="s">
        <v>162</v>
      </c>
      <c r="C335" t="s">
        <v>0</v>
      </c>
      <c r="D335" t="s">
        <v>1</v>
      </c>
      <c r="E335" s="14">
        <v>65</v>
      </c>
      <c r="F335" s="14">
        <v>145398</v>
      </c>
      <c r="G335" s="14">
        <v>23</v>
      </c>
      <c r="H335" s="13">
        <v>36.240000250000001</v>
      </c>
      <c r="I335" s="14">
        <v>9</v>
      </c>
      <c r="J335" s="11">
        <f>I335*85</f>
        <v>765</v>
      </c>
      <c r="K335" s="11">
        <f>J335-H335</f>
        <v>728.75999975000002</v>
      </c>
      <c r="L335" s="10">
        <f>G335/F335</f>
        <v>1.5818649499993123E-4</v>
      </c>
      <c r="M335" s="14">
        <f>IFERROR(ROUND(I335/G335,2),0)</f>
        <v>0.39</v>
      </c>
      <c r="N335" s="11">
        <f>IFERROR(H335/G335,0)</f>
        <v>1.5756521847826088</v>
      </c>
      <c r="O335" s="11">
        <f>IFERROR(H335/I335,0)</f>
        <v>4.0266666944444447</v>
      </c>
      <c r="P335" s="11">
        <f>IFERROR((J335-H335)/H335,0)</f>
        <v>20.109271377557455</v>
      </c>
    </row>
    <row r="336" spans="1:16">
      <c r="A336">
        <v>1121285</v>
      </c>
      <c r="B336" t="s">
        <v>162</v>
      </c>
      <c r="C336" t="s">
        <v>0</v>
      </c>
      <c r="D336" t="s">
        <v>1</v>
      </c>
      <c r="E336" s="14">
        <v>66</v>
      </c>
      <c r="F336" s="14">
        <v>37187</v>
      </c>
      <c r="G336" s="14">
        <v>4</v>
      </c>
      <c r="H336" s="13">
        <v>6.3700000049999996</v>
      </c>
      <c r="I336" s="14">
        <v>9</v>
      </c>
      <c r="J336" s="11">
        <f>I336*85</f>
        <v>765</v>
      </c>
      <c r="K336" s="11">
        <f>J336-H336</f>
        <v>758.62999999500005</v>
      </c>
      <c r="L336" s="10">
        <f>G336/F336</f>
        <v>1.0756447145507839E-4</v>
      </c>
      <c r="M336" s="14">
        <f>IFERROR(ROUND(I336/G336,2),0)</f>
        <v>2.25</v>
      </c>
      <c r="N336" s="11">
        <f>IFERROR(H336/G336,0)</f>
        <v>1.5925000012499999</v>
      </c>
      <c r="O336" s="11">
        <f>IFERROR(H336/I336,0)</f>
        <v>0.70777777833333333</v>
      </c>
      <c r="P336" s="11">
        <f>IFERROR((J336-H336)/H336,0)</f>
        <v>119.09419142849751</v>
      </c>
    </row>
    <row r="337" spans="1:16">
      <c r="A337">
        <v>1121289</v>
      </c>
      <c r="B337" t="s">
        <v>162</v>
      </c>
      <c r="C337" t="s">
        <v>2</v>
      </c>
      <c r="D337" t="s">
        <v>1</v>
      </c>
      <c r="E337" s="14">
        <v>10</v>
      </c>
      <c r="F337" s="14">
        <v>98066</v>
      </c>
      <c r="G337" s="14">
        <v>9</v>
      </c>
      <c r="H337" s="13">
        <v>16.1500001</v>
      </c>
      <c r="I337" s="14">
        <v>9</v>
      </c>
      <c r="J337" s="11">
        <f>I337*85</f>
        <v>765</v>
      </c>
      <c r="K337" s="11">
        <f>J337-H337</f>
        <v>748.84999990000006</v>
      </c>
      <c r="L337" s="10">
        <f>G337/F337</f>
        <v>9.1774927089919041E-5</v>
      </c>
      <c r="M337" s="14">
        <f>IFERROR(ROUND(I337/G337,2),0)</f>
        <v>1</v>
      </c>
      <c r="N337" s="11">
        <f>IFERROR(H337/G337,0)</f>
        <v>1.7944444555555554</v>
      </c>
      <c r="O337" s="11">
        <f>IFERROR(H337/I337,0)</f>
        <v>1.7944444555555554</v>
      </c>
      <c r="P337" s="11">
        <f>IFERROR((J337-H337)/H337,0)</f>
        <v>46.368420759328671</v>
      </c>
    </row>
    <row r="338" spans="1:16">
      <c r="A338">
        <v>1121291</v>
      </c>
      <c r="B338" t="s">
        <v>162</v>
      </c>
      <c r="C338" t="s">
        <v>2</v>
      </c>
      <c r="D338" t="s">
        <v>1</v>
      </c>
      <c r="E338" s="14">
        <v>10</v>
      </c>
      <c r="F338" s="14">
        <v>52553</v>
      </c>
      <c r="G338" s="14">
        <v>5</v>
      </c>
      <c r="H338" s="13">
        <v>8.5299998519999995</v>
      </c>
      <c r="I338" s="14">
        <v>9</v>
      </c>
      <c r="J338" s="11">
        <f>I338*85</f>
        <v>765</v>
      </c>
      <c r="K338" s="11">
        <f>J338-H338</f>
        <v>756.47000014800005</v>
      </c>
      <c r="L338" s="10">
        <f>G338/F338</f>
        <v>9.5142047076284892E-5</v>
      </c>
      <c r="M338" s="14">
        <f>IFERROR(ROUND(I338/G338,2),0)</f>
        <v>1.8</v>
      </c>
      <c r="N338" s="11">
        <f>IFERROR(H338/G338,0)</f>
        <v>1.7059999704</v>
      </c>
      <c r="O338" s="11">
        <f>IFERROR(H338/I338,0)</f>
        <v>0.94777776133333325</v>
      </c>
      <c r="P338" s="11">
        <f>IFERROR((J338-H338)/H338,0)</f>
        <v>88.68347166156552</v>
      </c>
    </row>
    <row r="339" spans="1:16">
      <c r="A339">
        <v>1121311</v>
      </c>
      <c r="B339" t="s">
        <v>162</v>
      </c>
      <c r="C339" t="s">
        <v>2</v>
      </c>
      <c r="D339" t="s">
        <v>1</v>
      </c>
      <c r="E339" s="14">
        <v>18</v>
      </c>
      <c r="F339" s="14">
        <v>140749</v>
      </c>
      <c r="G339" s="14">
        <v>19</v>
      </c>
      <c r="H339" s="13">
        <v>30.479999899999999</v>
      </c>
      <c r="I339" s="14">
        <v>9</v>
      </c>
      <c r="J339" s="11">
        <f>I339*85</f>
        <v>765</v>
      </c>
      <c r="K339" s="11">
        <f>J339-H339</f>
        <v>734.52000009999995</v>
      </c>
      <c r="L339" s="10">
        <f>G339/F339</f>
        <v>1.349920780964696E-4</v>
      </c>
      <c r="M339" s="14">
        <f>IFERROR(ROUND(I339/G339,2),0)</f>
        <v>0.47</v>
      </c>
      <c r="N339" s="11">
        <f>IFERROR(H339/G339,0)</f>
        <v>1.6042105210526316</v>
      </c>
      <c r="O339" s="11">
        <f>IFERROR(H339/I339,0)</f>
        <v>3.3866666555555556</v>
      </c>
      <c r="P339" s="11">
        <f>IFERROR((J339-H339)/H339,0)</f>
        <v>24.098425279194309</v>
      </c>
    </row>
    <row r="340" spans="1:16">
      <c r="A340">
        <v>1121330</v>
      </c>
      <c r="B340" t="s">
        <v>162</v>
      </c>
      <c r="C340" t="s">
        <v>2</v>
      </c>
      <c r="D340" t="s">
        <v>1</v>
      </c>
      <c r="E340" s="14">
        <v>21</v>
      </c>
      <c r="F340" s="14">
        <v>21743</v>
      </c>
      <c r="G340" s="14">
        <v>2</v>
      </c>
      <c r="H340" s="13">
        <v>3.4000000950000002</v>
      </c>
      <c r="I340" s="14">
        <v>9</v>
      </c>
      <c r="J340" s="11">
        <f>I340*85</f>
        <v>765</v>
      </c>
      <c r="K340" s="11">
        <f>J340-H340</f>
        <v>761.599999905</v>
      </c>
      <c r="L340" s="10">
        <f>G340/F340</f>
        <v>9.1983626914409237E-5</v>
      </c>
      <c r="M340" s="14">
        <f>IFERROR(ROUND(I340/G340,2),0)</f>
        <v>4.5</v>
      </c>
      <c r="N340" s="11">
        <f>IFERROR(H340/G340,0)</f>
        <v>1.7000000475000001</v>
      </c>
      <c r="O340" s="11">
        <f>IFERROR(H340/I340,0)</f>
        <v>0.37777778833333336</v>
      </c>
      <c r="P340" s="11">
        <f>IFERROR((J340-H340)/H340,0)</f>
        <v>223.99999371323545</v>
      </c>
    </row>
    <row r="341" spans="1:16">
      <c r="A341">
        <v>1121337</v>
      </c>
      <c r="B341" t="s">
        <v>162</v>
      </c>
      <c r="C341" t="s">
        <v>2</v>
      </c>
      <c r="D341" t="s">
        <v>1</v>
      </c>
      <c r="E341" s="14">
        <v>23</v>
      </c>
      <c r="F341" s="14">
        <v>64647</v>
      </c>
      <c r="G341" s="14">
        <v>10</v>
      </c>
      <c r="H341" s="13">
        <v>16.269999980000001</v>
      </c>
      <c r="I341" s="14">
        <v>9</v>
      </c>
      <c r="J341" s="11">
        <f>I341*85</f>
        <v>765</v>
      </c>
      <c r="K341" s="11">
        <f>J341-H341</f>
        <v>748.73000002000003</v>
      </c>
      <c r="L341" s="10">
        <f>G341/F341</f>
        <v>1.5468621900474887E-4</v>
      </c>
      <c r="M341" s="14">
        <f>IFERROR(ROUND(I341/G341,2),0)</f>
        <v>0.9</v>
      </c>
      <c r="N341" s="11">
        <f>IFERROR(H341/G341,0)</f>
        <v>1.6269999980000001</v>
      </c>
      <c r="O341" s="11">
        <f>IFERROR(H341/I341,0)</f>
        <v>1.8077777755555557</v>
      </c>
      <c r="P341" s="11">
        <f>IFERROR((J341-H341)/H341,0)</f>
        <v>46.019053530447515</v>
      </c>
    </row>
    <row r="342" spans="1:16">
      <c r="A342">
        <v>1121338</v>
      </c>
      <c r="B342" t="s">
        <v>162</v>
      </c>
      <c r="C342" t="s">
        <v>2</v>
      </c>
      <c r="D342" t="s">
        <v>1</v>
      </c>
      <c r="E342" s="14">
        <v>23</v>
      </c>
      <c r="F342" s="14">
        <v>31265</v>
      </c>
      <c r="G342" s="14">
        <v>4</v>
      </c>
      <c r="H342" s="13">
        <v>5.7899999019999999</v>
      </c>
      <c r="I342" s="14">
        <v>9</v>
      </c>
      <c r="J342" s="11">
        <f>I342*85</f>
        <v>765</v>
      </c>
      <c r="K342" s="11">
        <f>J342-H342</f>
        <v>759.21000009800002</v>
      </c>
      <c r="L342" s="10">
        <f>G342/F342</f>
        <v>1.2793858947705101E-4</v>
      </c>
      <c r="M342" s="14">
        <f>IFERROR(ROUND(I342/G342,2),0)</f>
        <v>2.25</v>
      </c>
      <c r="N342" s="11">
        <f>IFERROR(H342/G342,0)</f>
        <v>1.4474999755</v>
      </c>
      <c r="O342" s="11">
        <f>IFERROR(H342/I342,0)</f>
        <v>0.64333332244444441</v>
      </c>
      <c r="P342" s="11">
        <f>IFERROR((J342-H342)/H342,0)</f>
        <v>131.12435456790791</v>
      </c>
    </row>
    <row r="343" spans="1:16">
      <c r="A343">
        <v>1121341</v>
      </c>
      <c r="B343" t="s">
        <v>162</v>
      </c>
      <c r="C343" t="s">
        <v>2</v>
      </c>
      <c r="D343" t="s">
        <v>1</v>
      </c>
      <c r="E343" s="14">
        <v>23</v>
      </c>
      <c r="F343" s="14">
        <v>223120</v>
      </c>
      <c r="G343" s="14">
        <v>40</v>
      </c>
      <c r="H343" s="13">
        <v>67.669999840000003</v>
      </c>
      <c r="I343" s="14">
        <v>9</v>
      </c>
      <c r="J343" s="11">
        <f>I343*85</f>
        <v>765</v>
      </c>
      <c r="K343" s="11">
        <f>J343-H343</f>
        <v>697.33000016000005</v>
      </c>
      <c r="L343" s="10">
        <f>G343/F343</f>
        <v>1.7927572606669058E-4</v>
      </c>
      <c r="M343" s="14">
        <f>IFERROR(ROUND(I343/G343,2),0)</f>
        <v>0.23</v>
      </c>
      <c r="N343" s="11">
        <f>IFERROR(H343/G343,0)</f>
        <v>1.691749996</v>
      </c>
      <c r="O343" s="11">
        <f>IFERROR(H343/I343,0)</f>
        <v>7.5188888711111117</v>
      </c>
      <c r="P343" s="11">
        <f>IFERROR((J343-H343)/H343,0)</f>
        <v>10.30486185619592</v>
      </c>
    </row>
    <row r="344" spans="1:16">
      <c r="A344">
        <v>1121342</v>
      </c>
      <c r="B344" t="s">
        <v>162</v>
      </c>
      <c r="C344" t="s">
        <v>2</v>
      </c>
      <c r="D344" t="s">
        <v>1</v>
      </c>
      <c r="E344" s="14">
        <v>23</v>
      </c>
      <c r="F344" s="14">
        <v>104869</v>
      </c>
      <c r="G344" s="14">
        <v>18</v>
      </c>
      <c r="H344" s="13">
        <v>34.070000890000003</v>
      </c>
      <c r="I344" s="14">
        <v>9</v>
      </c>
      <c r="J344" s="11">
        <f>I344*85</f>
        <v>765</v>
      </c>
      <c r="K344" s="11">
        <f>J344-H344</f>
        <v>730.92999911000004</v>
      </c>
      <c r="L344" s="10">
        <f>G344/F344</f>
        <v>1.7164271615062603E-4</v>
      </c>
      <c r="M344" s="14">
        <f>IFERROR(ROUND(I344/G344,2),0)</f>
        <v>0.5</v>
      </c>
      <c r="N344" s="11">
        <f>IFERROR(H344/G344,0)</f>
        <v>1.8927778272222224</v>
      </c>
      <c r="O344" s="11">
        <f>IFERROR(H344/I344,0)</f>
        <v>3.7855556544444449</v>
      </c>
      <c r="P344" s="11">
        <f>IFERROR((J344-H344)/H344,0)</f>
        <v>21.453771060057051</v>
      </c>
    </row>
    <row r="345" spans="1:16">
      <c r="A345">
        <v>1121345</v>
      </c>
      <c r="B345" t="s">
        <v>162</v>
      </c>
      <c r="C345" t="s">
        <v>2</v>
      </c>
      <c r="D345" t="s">
        <v>1</v>
      </c>
      <c r="E345" s="14">
        <v>24</v>
      </c>
      <c r="F345" s="14">
        <v>84194</v>
      </c>
      <c r="G345" s="14">
        <v>11</v>
      </c>
      <c r="H345" s="13">
        <v>19.569999809999999</v>
      </c>
      <c r="I345" s="14">
        <v>9</v>
      </c>
      <c r="J345" s="11">
        <f>I345*85</f>
        <v>765</v>
      </c>
      <c r="K345" s="11">
        <f>J345-H345</f>
        <v>745.43000018999999</v>
      </c>
      <c r="L345" s="10">
        <f>G345/F345</f>
        <v>1.3065064018813691E-4</v>
      </c>
      <c r="M345" s="14">
        <f>IFERROR(ROUND(I345/G345,2),0)</f>
        <v>0.82</v>
      </c>
      <c r="N345" s="11">
        <f>IFERROR(H345/G345,0)</f>
        <v>1.7790908918181818</v>
      </c>
      <c r="O345" s="11">
        <f>IFERROR(H345/I345,0)</f>
        <v>2.1744444233333331</v>
      </c>
      <c r="P345" s="11">
        <f>IFERROR((J345-H345)/H345,0)</f>
        <v>38.090444937515819</v>
      </c>
    </row>
    <row r="346" spans="1:16">
      <c r="A346">
        <v>1121347</v>
      </c>
      <c r="B346" t="s">
        <v>162</v>
      </c>
      <c r="C346" t="s">
        <v>2</v>
      </c>
      <c r="D346" t="s">
        <v>1</v>
      </c>
      <c r="E346" s="14">
        <v>24</v>
      </c>
      <c r="F346" s="14">
        <v>220581</v>
      </c>
      <c r="G346" s="14">
        <v>31</v>
      </c>
      <c r="H346" s="13">
        <v>57.37</v>
      </c>
      <c r="I346" s="14">
        <v>9</v>
      </c>
      <c r="J346" s="11">
        <f>I346*85</f>
        <v>765</v>
      </c>
      <c r="K346" s="11">
        <f>J346-H346</f>
        <v>707.63</v>
      </c>
      <c r="L346" s="10">
        <f>G346/F346</f>
        <v>1.4053794297786302E-4</v>
      </c>
      <c r="M346" s="14">
        <f>IFERROR(ROUND(I346/G346,2),0)</f>
        <v>0.28999999999999998</v>
      </c>
      <c r="N346" s="11">
        <f>IFERROR(H346/G346,0)</f>
        <v>1.8506451612903225</v>
      </c>
      <c r="O346" s="11">
        <f>IFERROR(H346/I346,0)</f>
        <v>6.3744444444444444</v>
      </c>
      <c r="P346" s="11">
        <f>IFERROR((J346-H346)/H346,0)</f>
        <v>12.334495380861078</v>
      </c>
    </row>
    <row r="347" spans="1:16">
      <c r="A347">
        <v>1121368</v>
      </c>
      <c r="B347" t="s">
        <v>162</v>
      </c>
      <c r="C347" t="s">
        <v>2</v>
      </c>
      <c r="D347" t="s">
        <v>1</v>
      </c>
      <c r="E347" s="14">
        <v>28</v>
      </c>
      <c r="F347" s="14">
        <v>358987</v>
      </c>
      <c r="G347" s="14">
        <v>52</v>
      </c>
      <c r="H347" s="13">
        <v>87.550000670000003</v>
      </c>
      <c r="I347" s="14">
        <v>9</v>
      </c>
      <c r="J347" s="11">
        <f>I347*85</f>
        <v>765</v>
      </c>
      <c r="K347" s="11">
        <f>J347-H347</f>
        <v>677.44999932999997</v>
      </c>
      <c r="L347" s="10">
        <f>G347/F347</f>
        <v>1.4485204199594972E-4</v>
      </c>
      <c r="M347" s="14">
        <f>IFERROR(ROUND(I347/G347,2),0)</f>
        <v>0.17</v>
      </c>
      <c r="N347" s="11">
        <f>IFERROR(H347/G347,0)</f>
        <v>1.6836538590384615</v>
      </c>
      <c r="O347" s="11">
        <f>IFERROR(H347/I347,0)</f>
        <v>9.7277778522222231</v>
      </c>
      <c r="P347" s="11">
        <f>IFERROR((J347-H347)/H347,0)</f>
        <v>7.7378640108010401</v>
      </c>
    </row>
    <row r="348" spans="1:16">
      <c r="A348">
        <v>1121379</v>
      </c>
      <c r="B348" t="s">
        <v>162</v>
      </c>
      <c r="C348" t="s">
        <v>2</v>
      </c>
      <c r="D348" t="s">
        <v>1</v>
      </c>
      <c r="E348" s="14">
        <v>30</v>
      </c>
      <c r="F348" s="14">
        <v>49422</v>
      </c>
      <c r="G348" s="14">
        <v>6</v>
      </c>
      <c r="H348" s="13">
        <v>11.170000310000001</v>
      </c>
      <c r="I348" s="14">
        <v>9</v>
      </c>
      <c r="J348" s="11">
        <f>I348*85</f>
        <v>765</v>
      </c>
      <c r="K348" s="11">
        <f>J348-H348</f>
        <v>753.82999969000002</v>
      </c>
      <c r="L348" s="10">
        <f>G348/F348</f>
        <v>1.2140342357654485E-4</v>
      </c>
      <c r="M348" s="14">
        <f>IFERROR(ROUND(I348/G348,2),0)</f>
        <v>1.5</v>
      </c>
      <c r="N348" s="11">
        <f>IFERROR(H348/G348,0)</f>
        <v>1.8616667183333335</v>
      </c>
      <c r="O348" s="11">
        <f>IFERROR(H348/I348,0)</f>
        <v>1.2411111455555557</v>
      </c>
      <c r="P348" s="11">
        <f>IFERROR((J348-H348)/H348,0)</f>
        <v>67.487016899644118</v>
      </c>
    </row>
    <row r="349" spans="1:16">
      <c r="A349">
        <v>1121390</v>
      </c>
      <c r="B349" t="s">
        <v>162</v>
      </c>
      <c r="C349" t="s">
        <v>2</v>
      </c>
      <c r="D349" t="s">
        <v>1</v>
      </c>
      <c r="E349" s="14">
        <v>31</v>
      </c>
      <c r="F349" s="14">
        <v>15513</v>
      </c>
      <c r="G349" s="14">
        <v>1</v>
      </c>
      <c r="H349" s="13">
        <v>1.289999962</v>
      </c>
      <c r="I349" s="14">
        <v>9</v>
      </c>
      <c r="J349" s="11">
        <f>I349*85</f>
        <v>765</v>
      </c>
      <c r="K349" s="11">
        <f>J349-H349</f>
        <v>763.71000003799998</v>
      </c>
      <c r="L349" s="10">
        <f>G349/F349</f>
        <v>6.4462064075291697E-5</v>
      </c>
      <c r="M349" s="14">
        <f>IFERROR(ROUND(I349/G349,2),0)</f>
        <v>9</v>
      </c>
      <c r="N349" s="11">
        <f>IFERROR(H349/G349,0)</f>
        <v>1.289999962</v>
      </c>
      <c r="O349" s="11">
        <f>IFERROR(H349/I349,0)</f>
        <v>0.1433333291111111</v>
      </c>
      <c r="P349" s="11">
        <f>IFERROR((J349-H349)/H349,0)</f>
        <v>592.02327328285605</v>
      </c>
    </row>
    <row r="350" spans="1:16">
      <c r="A350">
        <v>1121422</v>
      </c>
      <c r="B350" t="s">
        <v>162</v>
      </c>
      <c r="C350" t="s">
        <v>2</v>
      </c>
      <c r="D350" t="s">
        <v>1</v>
      </c>
      <c r="E350" s="14">
        <v>2</v>
      </c>
      <c r="F350" s="14">
        <v>128843</v>
      </c>
      <c r="G350" s="14">
        <v>24</v>
      </c>
      <c r="H350" s="13">
        <v>37.5999999</v>
      </c>
      <c r="I350" s="14">
        <v>9</v>
      </c>
      <c r="J350" s="11">
        <f>I350*85</f>
        <v>765</v>
      </c>
      <c r="K350" s="11">
        <f>J350-H350</f>
        <v>727.40000009999994</v>
      </c>
      <c r="L350" s="10">
        <f>G350/F350</f>
        <v>1.8627321623991992E-4</v>
      </c>
      <c r="M350" s="14">
        <f>IFERROR(ROUND(I350/G350,2),0)</f>
        <v>0.38</v>
      </c>
      <c r="N350" s="11">
        <f>IFERROR(H350/G350,0)</f>
        <v>1.5666666625000001</v>
      </c>
      <c r="O350" s="11">
        <f>IFERROR(H350/I350,0)</f>
        <v>4.1777777666666669</v>
      </c>
      <c r="P350" s="11">
        <f>IFERROR((J350-H350)/H350,0)</f>
        <v>19.345744734962086</v>
      </c>
    </row>
    <row r="351" spans="1:16">
      <c r="A351">
        <v>1121456</v>
      </c>
      <c r="B351" t="s">
        <v>162</v>
      </c>
      <c r="C351" t="s">
        <v>3</v>
      </c>
      <c r="D351" t="s">
        <v>1</v>
      </c>
      <c r="E351" s="14">
        <v>16</v>
      </c>
      <c r="F351" s="14">
        <v>315281</v>
      </c>
      <c r="G351" s="14">
        <v>35</v>
      </c>
      <c r="H351" s="13">
        <v>65.029998539999994</v>
      </c>
      <c r="I351" s="14">
        <v>9</v>
      </c>
      <c r="J351" s="11">
        <f>I351*85</f>
        <v>765</v>
      </c>
      <c r="K351" s="11">
        <f>J351-H351</f>
        <v>699.97000146000005</v>
      </c>
      <c r="L351" s="10">
        <f>G351/F351</f>
        <v>1.1101208128621769E-4</v>
      </c>
      <c r="M351" s="14">
        <f>IFERROR(ROUND(I351/G351,2),0)</f>
        <v>0.26</v>
      </c>
      <c r="N351" s="11">
        <f>IFERROR(H351/G351,0)</f>
        <v>1.8579999582857141</v>
      </c>
      <c r="O351" s="11">
        <f>IFERROR(H351/I351,0)</f>
        <v>7.225555393333333</v>
      </c>
      <c r="P351" s="11">
        <f>IFERROR((J351-H351)/H351,0)</f>
        <v>10.76380158657774</v>
      </c>
    </row>
    <row r="352" spans="1:16">
      <c r="A352">
        <v>1121482</v>
      </c>
      <c r="B352" t="s">
        <v>162</v>
      </c>
      <c r="C352" t="s">
        <v>3</v>
      </c>
      <c r="D352" t="s">
        <v>1</v>
      </c>
      <c r="E352" s="14">
        <v>22</v>
      </c>
      <c r="F352" s="14">
        <v>180815</v>
      </c>
      <c r="G352" s="14">
        <v>31</v>
      </c>
      <c r="H352" s="13">
        <v>42.629999759999997</v>
      </c>
      <c r="I352" s="14">
        <v>9</v>
      </c>
      <c r="J352" s="11">
        <f>I352*85</f>
        <v>765</v>
      </c>
      <c r="K352" s="11">
        <f>J352-H352</f>
        <v>722.37000023999997</v>
      </c>
      <c r="L352" s="10">
        <f>G352/F352</f>
        <v>1.7144595304593093E-4</v>
      </c>
      <c r="M352" s="14">
        <f>IFERROR(ROUND(I352/G352,2),0)</f>
        <v>0.28999999999999998</v>
      </c>
      <c r="N352" s="11">
        <f>IFERROR(H352/G352,0)</f>
        <v>1.375161282580645</v>
      </c>
      <c r="O352" s="11">
        <f>IFERROR(H352/I352,0)</f>
        <v>4.7366666399999993</v>
      </c>
      <c r="P352" s="11">
        <f>IFERROR((J352-H352)/H352,0)</f>
        <v>16.945109179142065</v>
      </c>
    </row>
    <row r="353" spans="1:16">
      <c r="A353">
        <v>1121483</v>
      </c>
      <c r="B353" t="s">
        <v>162</v>
      </c>
      <c r="C353" t="s">
        <v>3</v>
      </c>
      <c r="D353" t="s">
        <v>1</v>
      </c>
      <c r="E353" s="14">
        <v>22</v>
      </c>
      <c r="F353" s="14">
        <v>253169</v>
      </c>
      <c r="G353" s="14">
        <v>51</v>
      </c>
      <c r="H353" s="13">
        <v>75.789999839999993</v>
      </c>
      <c r="I353" s="14">
        <v>9</v>
      </c>
      <c r="J353" s="11">
        <f>I353*85</f>
        <v>765</v>
      </c>
      <c r="K353" s="11">
        <f>J353-H353</f>
        <v>689.21000016000005</v>
      </c>
      <c r="L353" s="10">
        <f>G353/F353</f>
        <v>2.0144646461454601E-4</v>
      </c>
      <c r="M353" s="14">
        <f>IFERROR(ROUND(I353/G353,2),0)</f>
        <v>0.18</v>
      </c>
      <c r="N353" s="11">
        <f>IFERROR(H353/G353,0)</f>
        <v>1.4860784282352939</v>
      </c>
      <c r="O353" s="11">
        <f>IFERROR(H353/I353,0)</f>
        <v>8.421111093333332</v>
      </c>
      <c r="P353" s="11">
        <f>IFERROR((J353-H353)/H353,0)</f>
        <v>9.0936799263093935</v>
      </c>
    </row>
    <row r="354" spans="1:16">
      <c r="A354">
        <v>1121487</v>
      </c>
      <c r="B354" t="s">
        <v>162</v>
      </c>
      <c r="C354" t="s">
        <v>3</v>
      </c>
      <c r="D354" t="s">
        <v>1</v>
      </c>
      <c r="E354" s="14">
        <v>23</v>
      </c>
      <c r="F354" s="14">
        <v>51550</v>
      </c>
      <c r="G354" s="14">
        <v>8</v>
      </c>
      <c r="H354" s="13">
        <v>14.03999984</v>
      </c>
      <c r="I354" s="14">
        <v>9</v>
      </c>
      <c r="J354" s="11">
        <f>I354*85</f>
        <v>765</v>
      </c>
      <c r="K354" s="11">
        <f>J354-H354</f>
        <v>750.96000016000005</v>
      </c>
      <c r="L354" s="10">
        <f>G354/F354</f>
        <v>1.5518913676042676E-4</v>
      </c>
      <c r="M354" s="14">
        <f>IFERROR(ROUND(I354/G354,2),0)</f>
        <v>1.1299999999999999</v>
      </c>
      <c r="N354" s="11">
        <f>IFERROR(H354/G354,0)</f>
        <v>1.75499998</v>
      </c>
      <c r="O354" s="11">
        <f>IFERROR(H354/I354,0)</f>
        <v>1.5599999822222221</v>
      </c>
      <c r="P354" s="11">
        <f>IFERROR((J354-H354)/H354,0)</f>
        <v>53.487180108116014</v>
      </c>
    </row>
    <row r="355" spans="1:16">
      <c r="A355">
        <v>1121489</v>
      </c>
      <c r="B355" t="s">
        <v>162</v>
      </c>
      <c r="C355" t="s">
        <v>3</v>
      </c>
      <c r="D355" t="s">
        <v>1</v>
      </c>
      <c r="E355" s="14">
        <v>23</v>
      </c>
      <c r="F355" s="14">
        <v>110018</v>
      </c>
      <c r="G355" s="14">
        <v>24</v>
      </c>
      <c r="H355" s="13">
        <v>39.85999966</v>
      </c>
      <c r="I355" s="14">
        <v>9</v>
      </c>
      <c r="J355" s="11">
        <f>I355*85</f>
        <v>765</v>
      </c>
      <c r="K355" s="11">
        <f>J355-H355</f>
        <v>725.14000034000003</v>
      </c>
      <c r="L355" s="10">
        <f>G355/F355</f>
        <v>2.1814612154374738E-4</v>
      </c>
      <c r="M355" s="14">
        <f>IFERROR(ROUND(I355/G355,2),0)</f>
        <v>0.38</v>
      </c>
      <c r="N355" s="11">
        <f>IFERROR(H355/G355,0)</f>
        <v>1.6608333191666667</v>
      </c>
      <c r="O355" s="11">
        <f>IFERROR(H355/I355,0)</f>
        <v>4.4288888511111111</v>
      </c>
      <c r="P355" s="11">
        <f>IFERROR((J355-H355)/H355,0)</f>
        <v>18.192172767820843</v>
      </c>
    </row>
    <row r="356" spans="1:16">
      <c r="A356">
        <v>1121493</v>
      </c>
      <c r="B356" t="s">
        <v>162</v>
      </c>
      <c r="C356" t="s">
        <v>3</v>
      </c>
      <c r="D356" t="s">
        <v>1</v>
      </c>
      <c r="E356" s="14">
        <v>24</v>
      </c>
      <c r="F356" s="14">
        <v>137584</v>
      </c>
      <c r="G356" s="14">
        <v>21</v>
      </c>
      <c r="H356" s="13">
        <v>36.779999609999997</v>
      </c>
      <c r="I356" s="14">
        <v>9</v>
      </c>
      <c r="J356" s="11">
        <f>I356*85</f>
        <v>765</v>
      </c>
      <c r="K356" s="11">
        <f>J356-H356</f>
        <v>728.22000039</v>
      </c>
      <c r="L356" s="10">
        <f>G356/F356</f>
        <v>1.5263402721246656E-4</v>
      </c>
      <c r="M356" s="14">
        <f>IFERROR(ROUND(I356/G356,2),0)</f>
        <v>0.43</v>
      </c>
      <c r="N356" s="11">
        <f>IFERROR(H356/G356,0)</f>
        <v>1.7514285528571427</v>
      </c>
      <c r="O356" s="11">
        <f>IFERROR(H356/I356,0)</f>
        <v>4.0866666233333326</v>
      </c>
      <c r="P356" s="11">
        <f>IFERROR((J356-H356)/H356,0)</f>
        <v>19.799347691999611</v>
      </c>
    </row>
    <row r="357" spans="1:16">
      <c r="A357">
        <v>1121514</v>
      </c>
      <c r="B357" t="s">
        <v>162</v>
      </c>
      <c r="C357" t="s">
        <v>3</v>
      </c>
      <c r="D357" t="s">
        <v>1</v>
      </c>
      <c r="E357" s="14">
        <v>27</v>
      </c>
      <c r="F357" s="14">
        <v>56265</v>
      </c>
      <c r="G357" s="14">
        <v>9</v>
      </c>
      <c r="H357" s="13">
        <v>15.539999720000001</v>
      </c>
      <c r="I357" s="14">
        <v>9</v>
      </c>
      <c r="J357" s="11">
        <f>I357*85</f>
        <v>765</v>
      </c>
      <c r="K357" s="11">
        <f>J357-H357</f>
        <v>749.46000028000003</v>
      </c>
      <c r="L357" s="10">
        <f>G357/F357</f>
        <v>1.5995734470807785E-4</v>
      </c>
      <c r="M357" s="14">
        <f>IFERROR(ROUND(I357/G357,2),0)</f>
        <v>1</v>
      </c>
      <c r="N357" s="11">
        <f>IFERROR(H357/G357,0)</f>
        <v>1.7266666355555556</v>
      </c>
      <c r="O357" s="11">
        <f>IFERROR(H357/I357,0)</f>
        <v>1.7266666355555556</v>
      </c>
      <c r="P357" s="11">
        <f>IFERROR((J357-H357)/H357,0)</f>
        <v>48.227800114786618</v>
      </c>
    </row>
    <row r="358" spans="1:16">
      <c r="A358">
        <v>1121525</v>
      </c>
      <c r="B358" t="s">
        <v>162</v>
      </c>
      <c r="C358" t="s">
        <v>3</v>
      </c>
      <c r="D358" t="s">
        <v>1</v>
      </c>
      <c r="E358" s="14">
        <v>29</v>
      </c>
      <c r="F358" s="14">
        <v>214094</v>
      </c>
      <c r="G358" s="14">
        <v>31</v>
      </c>
      <c r="H358" s="13">
        <v>53.269999030000001</v>
      </c>
      <c r="I358" s="14">
        <v>9</v>
      </c>
      <c r="J358" s="11">
        <f>I358*85</f>
        <v>765</v>
      </c>
      <c r="K358" s="11">
        <f>J358-H358</f>
        <v>711.73000096999999</v>
      </c>
      <c r="L358" s="10">
        <f>G358/F358</f>
        <v>1.4479621101011705E-4</v>
      </c>
      <c r="M358" s="14">
        <f>IFERROR(ROUND(I358/G358,2),0)</f>
        <v>0.28999999999999998</v>
      </c>
      <c r="N358" s="11">
        <f>IFERROR(H358/G358,0)</f>
        <v>1.7183870654838711</v>
      </c>
      <c r="O358" s="11">
        <f>IFERROR(H358/I358,0)</f>
        <v>5.9188887811111108</v>
      </c>
      <c r="P358" s="11">
        <f>IFERROR((J358-H358)/H358,0)</f>
        <v>13.360803715599392</v>
      </c>
    </row>
    <row r="359" spans="1:16">
      <c r="A359">
        <v>1121541</v>
      </c>
      <c r="B359" t="s">
        <v>162</v>
      </c>
      <c r="C359" t="s">
        <v>3</v>
      </c>
      <c r="D359" t="s">
        <v>1</v>
      </c>
      <c r="E359" s="14">
        <v>32</v>
      </c>
      <c r="F359" s="14">
        <v>56630</v>
      </c>
      <c r="G359" s="14">
        <v>9</v>
      </c>
      <c r="H359" s="13">
        <v>15.810000179999999</v>
      </c>
      <c r="I359" s="14">
        <v>9</v>
      </c>
      <c r="J359" s="11">
        <f>I359*85</f>
        <v>765</v>
      </c>
      <c r="K359" s="11">
        <f>J359-H359</f>
        <v>749.18999982000003</v>
      </c>
      <c r="L359" s="10">
        <f>G359/F359</f>
        <v>1.5892636411795867E-4</v>
      </c>
      <c r="M359" s="14">
        <f>IFERROR(ROUND(I359/G359,2),0)</f>
        <v>1</v>
      </c>
      <c r="N359" s="11">
        <f>IFERROR(H359/G359,0)</f>
        <v>1.7566666866666667</v>
      </c>
      <c r="O359" s="11">
        <f>IFERROR(H359/I359,0)</f>
        <v>1.7566666866666667</v>
      </c>
      <c r="P359" s="11">
        <f>IFERROR((J359-H359)/H359,0)</f>
        <v>47.387096223296822</v>
      </c>
    </row>
    <row r="360" spans="1:16">
      <c r="A360">
        <v>1121562</v>
      </c>
      <c r="B360" t="s">
        <v>162</v>
      </c>
      <c r="C360" t="s">
        <v>3</v>
      </c>
      <c r="D360" t="s">
        <v>1</v>
      </c>
      <c r="E360" s="14">
        <v>64</v>
      </c>
      <c r="F360" s="14">
        <v>109289</v>
      </c>
      <c r="G360" s="14">
        <v>19</v>
      </c>
      <c r="H360" s="13">
        <v>31.029999969999999</v>
      </c>
      <c r="I360" s="14">
        <v>9</v>
      </c>
      <c r="J360" s="11">
        <f>I360*85</f>
        <v>765</v>
      </c>
      <c r="K360" s="11">
        <f>J360-H360</f>
        <v>733.97000003000005</v>
      </c>
      <c r="L360" s="10">
        <f>G360/F360</f>
        <v>1.7385098225804977E-4</v>
      </c>
      <c r="M360" s="14">
        <f>IFERROR(ROUND(I360/G360,2),0)</f>
        <v>0.47</v>
      </c>
      <c r="N360" s="11">
        <f>IFERROR(H360/G360,0)</f>
        <v>1.6331578931578947</v>
      </c>
      <c r="O360" s="11">
        <f>IFERROR(H360/I360,0)</f>
        <v>3.4477777744444444</v>
      </c>
      <c r="P360" s="11">
        <f>IFERROR((J360-H360)/H360,0)</f>
        <v>23.653561093767546</v>
      </c>
    </row>
    <row r="361" spans="1:16">
      <c r="A361">
        <v>1121572</v>
      </c>
      <c r="B361" t="s">
        <v>162</v>
      </c>
      <c r="C361" t="s">
        <v>3</v>
      </c>
      <c r="D361" t="s">
        <v>1</v>
      </c>
      <c r="E361" s="14">
        <v>2</v>
      </c>
      <c r="F361" s="14">
        <v>32574</v>
      </c>
      <c r="G361" s="14">
        <v>5</v>
      </c>
      <c r="H361" s="13">
        <v>7.4800000190000002</v>
      </c>
      <c r="I361" s="14">
        <v>9</v>
      </c>
      <c r="J361" s="11">
        <f>I361*85</f>
        <v>765</v>
      </c>
      <c r="K361" s="11">
        <f>J361-H361</f>
        <v>757.51999998099996</v>
      </c>
      <c r="L361" s="10">
        <f>G361/F361</f>
        <v>1.5349665377294776E-4</v>
      </c>
      <c r="M361" s="14">
        <f>IFERROR(ROUND(I361/G361,2),0)</f>
        <v>1.8</v>
      </c>
      <c r="N361" s="11">
        <f>IFERROR(H361/G361,0)</f>
        <v>1.4960000038000001</v>
      </c>
      <c r="O361" s="11">
        <f>IFERROR(H361/I361,0)</f>
        <v>0.8311111132222222</v>
      </c>
      <c r="P361" s="11">
        <f>IFERROR((J361-H361)/H361,0)</f>
        <v>101.27272701294361</v>
      </c>
    </row>
    <row r="362" spans="1:16">
      <c r="A362">
        <v>1121585</v>
      </c>
      <c r="B362" t="s">
        <v>162</v>
      </c>
      <c r="C362" t="s">
        <v>3</v>
      </c>
      <c r="D362" t="s">
        <v>1</v>
      </c>
      <c r="E362" s="14">
        <v>66</v>
      </c>
      <c r="F362" s="14">
        <v>9773</v>
      </c>
      <c r="G362" s="14">
        <v>1</v>
      </c>
      <c r="H362" s="13">
        <v>1.460000038</v>
      </c>
      <c r="I362" s="14">
        <v>9</v>
      </c>
      <c r="J362" s="11">
        <f>I362*85</f>
        <v>765</v>
      </c>
      <c r="K362" s="11">
        <f>J362-H362</f>
        <v>763.53999996200002</v>
      </c>
      <c r="L362" s="10">
        <f>G362/F362</f>
        <v>1.0232272587741738E-4</v>
      </c>
      <c r="M362" s="14">
        <f>IFERROR(ROUND(I362/G362,2),0)</f>
        <v>9</v>
      </c>
      <c r="N362" s="11">
        <f>IFERROR(H362/G362,0)</f>
        <v>1.460000038</v>
      </c>
      <c r="O362" s="11">
        <f>IFERROR(H362/I362,0)</f>
        <v>0.16222222644444445</v>
      </c>
      <c r="P362" s="11">
        <f>IFERROR((J362-H362)/H362,0)</f>
        <v>522.97258910208336</v>
      </c>
    </row>
    <row r="363" spans="1:16">
      <c r="A363">
        <v>1121609</v>
      </c>
      <c r="B363" t="s">
        <v>162</v>
      </c>
      <c r="C363" t="s">
        <v>4</v>
      </c>
      <c r="D363" t="s">
        <v>1</v>
      </c>
      <c r="E363" s="14">
        <v>18</v>
      </c>
      <c r="F363" s="14">
        <v>378171</v>
      </c>
      <c r="G363" s="14">
        <v>70</v>
      </c>
      <c r="H363" s="13">
        <v>109.2500008</v>
      </c>
      <c r="I363" s="14">
        <v>9</v>
      </c>
      <c r="J363" s="11">
        <f>I363*85</f>
        <v>765</v>
      </c>
      <c r="K363" s="11">
        <f>J363-H363</f>
        <v>655.74999920000005</v>
      </c>
      <c r="L363" s="10">
        <f>G363/F363</f>
        <v>1.8510144881548295E-4</v>
      </c>
      <c r="M363" s="14">
        <f>IFERROR(ROUND(I363/G363,2),0)</f>
        <v>0.13</v>
      </c>
      <c r="N363" s="11">
        <f>IFERROR(H363/G363,0)</f>
        <v>1.5607142971428571</v>
      </c>
      <c r="O363" s="11">
        <f>IFERROR(H363/I363,0)</f>
        <v>12.138888977777777</v>
      </c>
      <c r="P363" s="11">
        <f>IFERROR((J363-H363)/H363,0)</f>
        <v>6.002288278244114</v>
      </c>
    </row>
    <row r="364" spans="1:16">
      <c r="A364">
        <v>1121617</v>
      </c>
      <c r="B364" t="s">
        <v>162</v>
      </c>
      <c r="C364" t="s">
        <v>4</v>
      </c>
      <c r="D364" t="s">
        <v>1</v>
      </c>
      <c r="E364" s="14">
        <v>19</v>
      </c>
      <c r="F364" s="14">
        <v>68859</v>
      </c>
      <c r="G364" s="14">
        <v>15</v>
      </c>
      <c r="H364" s="13">
        <v>25.459999679999999</v>
      </c>
      <c r="I364" s="14">
        <v>9</v>
      </c>
      <c r="J364" s="11">
        <f>I364*85</f>
        <v>765</v>
      </c>
      <c r="K364" s="11">
        <f>J364-H364</f>
        <v>739.54000031999999</v>
      </c>
      <c r="L364" s="10">
        <f>G364/F364</f>
        <v>2.1783644839454538E-4</v>
      </c>
      <c r="M364" s="14">
        <f>IFERROR(ROUND(I364/G364,2),0)</f>
        <v>0.6</v>
      </c>
      <c r="N364" s="11">
        <f>IFERROR(H364/G364,0)</f>
        <v>1.697333312</v>
      </c>
      <c r="O364" s="11">
        <f>IFERROR(H364/I364,0)</f>
        <v>2.8288888533333334</v>
      </c>
      <c r="P364" s="11">
        <f>IFERROR((J364-H364)/H364,0)</f>
        <v>29.047133134920763</v>
      </c>
    </row>
    <row r="365" spans="1:16">
      <c r="A365">
        <v>1121624</v>
      </c>
      <c r="B365" t="s">
        <v>162</v>
      </c>
      <c r="C365" t="s">
        <v>4</v>
      </c>
      <c r="D365" t="s">
        <v>1</v>
      </c>
      <c r="E365" s="14">
        <v>20</v>
      </c>
      <c r="F365" s="14">
        <v>17662</v>
      </c>
      <c r="G365" s="14">
        <v>2</v>
      </c>
      <c r="H365" s="13">
        <v>3.1899999380000001</v>
      </c>
      <c r="I365" s="14">
        <v>9</v>
      </c>
      <c r="J365" s="11">
        <f>I365*85</f>
        <v>765</v>
      </c>
      <c r="K365" s="11">
        <f>J365-H365</f>
        <v>761.81000006199997</v>
      </c>
      <c r="L365" s="10">
        <f>G365/F365</f>
        <v>1.1323745895142112E-4</v>
      </c>
      <c r="M365" s="14">
        <f>IFERROR(ROUND(I365/G365,2),0)</f>
        <v>4.5</v>
      </c>
      <c r="N365" s="11">
        <f>IFERROR(H365/G365,0)</f>
        <v>1.5949999690000001</v>
      </c>
      <c r="O365" s="11">
        <f>IFERROR(H365/I365,0)</f>
        <v>0.35444443755555555</v>
      </c>
      <c r="P365" s="11">
        <f>IFERROR((J365-H365)/H365,0)</f>
        <v>238.81191688662659</v>
      </c>
    </row>
    <row r="366" spans="1:16">
      <c r="A366">
        <v>1121628</v>
      </c>
      <c r="B366" t="s">
        <v>162</v>
      </c>
      <c r="C366" t="s">
        <v>4</v>
      </c>
      <c r="D366" t="s">
        <v>1</v>
      </c>
      <c r="E366" s="14">
        <v>21</v>
      </c>
      <c r="F366" s="14">
        <v>59838</v>
      </c>
      <c r="G366" s="14">
        <v>7</v>
      </c>
      <c r="H366" s="13">
        <v>11.11000013</v>
      </c>
      <c r="I366" s="14">
        <v>9</v>
      </c>
      <c r="J366" s="11">
        <f>I366*85</f>
        <v>765</v>
      </c>
      <c r="K366" s="11">
        <f>J366-H366</f>
        <v>753.88999987</v>
      </c>
      <c r="L366" s="10">
        <f>G366/F366</f>
        <v>1.1698251946923359E-4</v>
      </c>
      <c r="M366" s="14">
        <f>IFERROR(ROUND(I366/G366,2),0)</f>
        <v>1.29</v>
      </c>
      <c r="N366" s="11">
        <f>IFERROR(H366/G366,0)</f>
        <v>1.5871428757142856</v>
      </c>
      <c r="O366" s="11">
        <f>IFERROR(H366/I366,0)</f>
        <v>1.2344444588888888</v>
      </c>
      <c r="P366" s="11">
        <f>IFERROR((J366-H366)/H366,0)</f>
        <v>67.85688488286273</v>
      </c>
    </row>
    <row r="367" spans="1:16">
      <c r="A367">
        <v>1121629</v>
      </c>
      <c r="B367" t="s">
        <v>162</v>
      </c>
      <c r="C367" t="s">
        <v>4</v>
      </c>
      <c r="D367" t="s">
        <v>1</v>
      </c>
      <c r="E367" s="14">
        <v>21</v>
      </c>
      <c r="F367" s="14">
        <v>381577</v>
      </c>
      <c r="G367" s="14">
        <v>81</v>
      </c>
      <c r="H367" s="13">
        <v>127.56999930000001</v>
      </c>
      <c r="I367" s="14">
        <v>9</v>
      </c>
      <c r="J367" s="11">
        <f>I367*85</f>
        <v>765</v>
      </c>
      <c r="K367" s="11">
        <f>J367-H367</f>
        <v>637.43000069999994</v>
      </c>
      <c r="L367" s="10">
        <f>G367/F367</f>
        <v>2.1227694541337658E-4</v>
      </c>
      <c r="M367" s="14">
        <f>IFERROR(ROUND(I367/G367,2),0)</f>
        <v>0.11</v>
      </c>
      <c r="N367" s="11">
        <f>IFERROR(H367/G367,0)</f>
        <v>1.5749382629629631</v>
      </c>
      <c r="O367" s="11">
        <f>IFERROR(H367/I367,0)</f>
        <v>14.174444366666668</v>
      </c>
      <c r="P367" s="11">
        <f>IFERROR((J367-H367)/H367,0)</f>
        <v>4.9967077228007781</v>
      </c>
    </row>
    <row r="368" spans="1:16">
      <c r="A368">
        <v>1121635</v>
      </c>
      <c r="B368" t="s">
        <v>162</v>
      </c>
      <c r="C368" t="s">
        <v>4</v>
      </c>
      <c r="D368" t="s">
        <v>1</v>
      </c>
      <c r="E368" s="14">
        <v>22</v>
      </c>
      <c r="F368" s="14">
        <v>45491</v>
      </c>
      <c r="G368" s="14">
        <v>8</v>
      </c>
      <c r="H368" s="13">
        <v>11.009999990000001</v>
      </c>
      <c r="I368" s="14">
        <v>9</v>
      </c>
      <c r="J368" s="11">
        <f>I368*85</f>
        <v>765</v>
      </c>
      <c r="K368" s="11">
        <f>J368-H368</f>
        <v>753.99000001000002</v>
      </c>
      <c r="L368" s="10">
        <f>G368/F368</f>
        <v>1.7585896111318723E-4</v>
      </c>
      <c r="M368" s="14">
        <f>IFERROR(ROUND(I368/G368,2),0)</f>
        <v>1.1299999999999999</v>
      </c>
      <c r="N368" s="11">
        <f>IFERROR(H368/G368,0)</f>
        <v>1.3762499987500001</v>
      </c>
      <c r="O368" s="11">
        <f>IFERROR(H368/I368,0)</f>
        <v>1.2233333322222224</v>
      </c>
      <c r="P368" s="11">
        <f>IFERROR((J368-H368)/H368,0)</f>
        <v>68.482288891446217</v>
      </c>
    </row>
    <row r="369" spans="1:16">
      <c r="A369">
        <v>1121641</v>
      </c>
      <c r="B369" t="s">
        <v>162</v>
      </c>
      <c r="C369" t="s">
        <v>4</v>
      </c>
      <c r="D369" t="s">
        <v>1</v>
      </c>
      <c r="E369" s="14">
        <v>23</v>
      </c>
      <c r="F369" s="14">
        <v>114370</v>
      </c>
      <c r="G369" s="14">
        <v>18</v>
      </c>
      <c r="H369" s="13">
        <v>33.659999970000001</v>
      </c>
      <c r="I369" s="14">
        <v>9</v>
      </c>
      <c r="J369" s="11">
        <f>I369*85</f>
        <v>765</v>
      </c>
      <c r="K369" s="11">
        <f>J369-H369</f>
        <v>731.34000003000006</v>
      </c>
      <c r="L369" s="10">
        <f>G369/F369</f>
        <v>1.5738392935210282E-4</v>
      </c>
      <c r="M369" s="14">
        <f>IFERROR(ROUND(I369/G369,2),0)</f>
        <v>0.5</v>
      </c>
      <c r="N369" s="11">
        <f>IFERROR(H369/G369,0)</f>
        <v>1.8699999983333333</v>
      </c>
      <c r="O369" s="11">
        <f>IFERROR(H369/I369,0)</f>
        <v>3.7399999966666666</v>
      </c>
      <c r="P369" s="11">
        <f>IFERROR((J369-H369)/H369,0)</f>
        <v>21.727272747528765</v>
      </c>
    </row>
    <row r="370" spans="1:16">
      <c r="A370">
        <v>1121642</v>
      </c>
      <c r="B370" t="s">
        <v>162</v>
      </c>
      <c r="C370" t="s">
        <v>4</v>
      </c>
      <c r="D370" t="s">
        <v>1</v>
      </c>
      <c r="E370" s="14">
        <v>23</v>
      </c>
      <c r="F370" s="14">
        <v>99698</v>
      </c>
      <c r="G370" s="14">
        <v>21</v>
      </c>
      <c r="H370" s="13">
        <v>33.3499999</v>
      </c>
      <c r="I370" s="14">
        <v>9</v>
      </c>
      <c r="J370" s="11">
        <f>I370*85</f>
        <v>765</v>
      </c>
      <c r="K370" s="11">
        <f>J370-H370</f>
        <v>731.65000009999994</v>
      </c>
      <c r="L370" s="10">
        <f>G370/F370</f>
        <v>2.1063612108567875E-4</v>
      </c>
      <c r="M370" s="14">
        <f>IFERROR(ROUND(I370/G370,2),0)</f>
        <v>0.43</v>
      </c>
      <c r="N370" s="11">
        <f>IFERROR(H370/G370,0)</f>
        <v>1.5880952333333334</v>
      </c>
      <c r="O370" s="11">
        <f>IFERROR(H370/I370,0)</f>
        <v>3.7055555444444446</v>
      </c>
      <c r="P370" s="11">
        <f>IFERROR((J370-H370)/H370,0)</f>
        <v>21.938530803413883</v>
      </c>
    </row>
    <row r="371" spans="1:16">
      <c r="A371">
        <v>1121660</v>
      </c>
      <c r="B371" t="s">
        <v>162</v>
      </c>
      <c r="C371" t="s">
        <v>4</v>
      </c>
      <c r="D371" t="s">
        <v>1</v>
      </c>
      <c r="E371" s="14">
        <v>26</v>
      </c>
      <c r="F371" s="14">
        <v>24078</v>
      </c>
      <c r="G371" s="14">
        <v>4</v>
      </c>
      <c r="H371" s="13">
        <v>5.7699999809999998</v>
      </c>
      <c r="I371" s="14">
        <v>9</v>
      </c>
      <c r="J371" s="11">
        <f>I371*85</f>
        <v>765</v>
      </c>
      <c r="K371" s="11">
        <f>J371-H371</f>
        <v>759.23000001900004</v>
      </c>
      <c r="L371" s="10">
        <f>G371/F371</f>
        <v>1.6612675471384668E-4</v>
      </c>
      <c r="M371" s="14">
        <f>IFERROR(ROUND(I371/G371,2),0)</f>
        <v>2.25</v>
      </c>
      <c r="N371" s="11">
        <f>IFERROR(H371/G371,0)</f>
        <v>1.4424999952499999</v>
      </c>
      <c r="O371" s="11">
        <f>IFERROR(H371/I371,0)</f>
        <v>0.64111110900000001</v>
      </c>
      <c r="P371" s="11">
        <f>IFERROR((J371-H371)/H371,0)</f>
        <v>131.58232279359865</v>
      </c>
    </row>
    <row r="372" spans="1:16">
      <c r="A372">
        <v>1121664</v>
      </c>
      <c r="B372" t="s">
        <v>162</v>
      </c>
      <c r="C372" t="s">
        <v>4</v>
      </c>
      <c r="D372" t="s">
        <v>1</v>
      </c>
      <c r="E372" s="14">
        <v>27</v>
      </c>
      <c r="F372" s="14">
        <v>179950</v>
      </c>
      <c r="G372" s="14">
        <v>35</v>
      </c>
      <c r="H372" s="13">
        <v>58.679999709999997</v>
      </c>
      <c r="I372" s="14">
        <v>9</v>
      </c>
      <c r="J372" s="11">
        <f>I372*85</f>
        <v>765</v>
      </c>
      <c r="K372" s="11">
        <f>J372-H372</f>
        <v>706.32000029000005</v>
      </c>
      <c r="L372" s="10">
        <f>G372/F372</f>
        <v>1.9449847179772158E-4</v>
      </c>
      <c r="M372" s="14">
        <f>IFERROR(ROUND(I372/G372,2),0)</f>
        <v>0.26</v>
      </c>
      <c r="N372" s="11">
        <f>IFERROR(H372/G372,0)</f>
        <v>1.6765714202857143</v>
      </c>
      <c r="O372" s="11">
        <f>IFERROR(H372/I372,0)</f>
        <v>6.5199999677777773</v>
      </c>
      <c r="P372" s="11">
        <f>IFERROR((J372-H372)/H372,0)</f>
        <v>12.0368098803796</v>
      </c>
    </row>
    <row r="373" spans="1:16">
      <c r="A373">
        <v>1121669</v>
      </c>
      <c r="B373" t="s">
        <v>162</v>
      </c>
      <c r="C373" t="s">
        <v>4</v>
      </c>
      <c r="D373" t="s">
        <v>1</v>
      </c>
      <c r="E373" s="14">
        <v>28</v>
      </c>
      <c r="F373" s="14">
        <v>120251</v>
      </c>
      <c r="G373" s="14">
        <v>26</v>
      </c>
      <c r="H373" s="13">
        <v>39.440000060000003</v>
      </c>
      <c r="I373" s="14">
        <v>9</v>
      </c>
      <c r="J373" s="11">
        <f>I373*85</f>
        <v>765</v>
      </c>
      <c r="K373" s="11">
        <f>J373-H373</f>
        <v>725.55999994000001</v>
      </c>
      <c r="L373" s="10">
        <f>G373/F373</f>
        <v>2.1621441817531664E-4</v>
      </c>
      <c r="M373" s="14">
        <f>IFERROR(ROUND(I373/G373,2),0)</f>
        <v>0.35</v>
      </c>
      <c r="N373" s="11">
        <f>IFERROR(H373/G373,0)</f>
        <v>1.5169230792307693</v>
      </c>
      <c r="O373" s="11">
        <f>IFERROR(H373/I373,0)</f>
        <v>4.3822222288888888</v>
      </c>
      <c r="P373" s="11">
        <f>IFERROR((J373-H373)/H373,0)</f>
        <v>18.396551694629991</v>
      </c>
    </row>
    <row r="374" spans="1:16">
      <c r="A374">
        <v>1121671</v>
      </c>
      <c r="B374" t="s">
        <v>162</v>
      </c>
      <c r="C374" t="s">
        <v>4</v>
      </c>
      <c r="D374" t="s">
        <v>1</v>
      </c>
      <c r="E374" s="14">
        <v>28</v>
      </c>
      <c r="F374" s="14">
        <v>139406</v>
      </c>
      <c r="G374" s="14">
        <v>24</v>
      </c>
      <c r="H374" s="13">
        <v>39.049999479999997</v>
      </c>
      <c r="I374" s="14">
        <v>9</v>
      </c>
      <c r="J374" s="11">
        <f>I374*85</f>
        <v>765</v>
      </c>
      <c r="K374" s="11">
        <f>J374-H374</f>
        <v>725.95000052</v>
      </c>
      <c r="L374" s="10">
        <f>G374/F374</f>
        <v>1.7215901754587322E-4</v>
      </c>
      <c r="M374" s="14">
        <f>IFERROR(ROUND(I374/G374,2),0)</f>
        <v>0.38</v>
      </c>
      <c r="N374" s="11">
        <f>IFERROR(H374/G374,0)</f>
        <v>1.6270833116666665</v>
      </c>
      <c r="O374" s="11">
        <f>IFERROR(H374/I374,0)</f>
        <v>4.3388888311111105</v>
      </c>
      <c r="P374" s="11">
        <f>IFERROR((J374-H374)/H374,0)</f>
        <v>18.590269146912675</v>
      </c>
    </row>
    <row r="375" spans="1:16">
      <c r="A375">
        <v>1121678</v>
      </c>
      <c r="B375" t="s">
        <v>162</v>
      </c>
      <c r="C375" t="s">
        <v>4</v>
      </c>
      <c r="D375" t="s">
        <v>1</v>
      </c>
      <c r="E375" s="14">
        <v>29</v>
      </c>
      <c r="F375" s="14">
        <v>147551</v>
      </c>
      <c r="G375" s="14">
        <v>22</v>
      </c>
      <c r="H375" s="13">
        <v>38.500000829999998</v>
      </c>
      <c r="I375" s="14">
        <v>9</v>
      </c>
      <c r="J375" s="11">
        <f>I375*85</f>
        <v>765</v>
      </c>
      <c r="K375" s="11">
        <f>J375-H375</f>
        <v>726.49999917000002</v>
      </c>
      <c r="L375" s="10">
        <f>G375/F375</f>
        <v>1.4910098881064853E-4</v>
      </c>
      <c r="M375" s="14">
        <f>IFERROR(ROUND(I375/G375,2),0)</f>
        <v>0.41</v>
      </c>
      <c r="N375" s="11">
        <f>IFERROR(H375/G375,0)</f>
        <v>1.7500000377272726</v>
      </c>
      <c r="O375" s="11">
        <f>IFERROR(H375/I375,0)</f>
        <v>4.2777778699999995</v>
      </c>
      <c r="P375" s="11">
        <f>IFERROR((J375-H375)/H375,0)</f>
        <v>18.870129441760849</v>
      </c>
    </row>
    <row r="376" spans="1:16">
      <c r="A376">
        <v>1121716</v>
      </c>
      <c r="B376" t="s">
        <v>162</v>
      </c>
      <c r="C376" t="s">
        <v>4</v>
      </c>
      <c r="D376" t="s">
        <v>1</v>
      </c>
      <c r="E376" s="14">
        <v>65</v>
      </c>
      <c r="F376" s="14">
        <v>76014</v>
      </c>
      <c r="G376" s="14">
        <v>16</v>
      </c>
      <c r="H376" s="13">
        <v>22.670000309999999</v>
      </c>
      <c r="I376" s="14">
        <v>9</v>
      </c>
      <c r="J376" s="11">
        <f>I376*85</f>
        <v>765</v>
      </c>
      <c r="K376" s="11">
        <f>J376-H376</f>
        <v>742.32999969000002</v>
      </c>
      <c r="L376" s="10">
        <f>G376/F376</f>
        <v>2.1048754176862156E-4</v>
      </c>
      <c r="M376" s="14">
        <f>IFERROR(ROUND(I376/G376,2),0)</f>
        <v>0.56000000000000005</v>
      </c>
      <c r="N376" s="11">
        <f>IFERROR(H376/G376,0)</f>
        <v>1.4168750193749999</v>
      </c>
      <c r="O376" s="11">
        <f>IFERROR(H376/I376,0)</f>
        <v>2.5188889233333334</v>
      </c>
      <c r="P376" s="11">
        <f>IFERROR((J376-H376)/H376,0)</f>
        <v>32.745037033040958</v>
      </c>
    </row>
    <row r="377" spans="1:16">
      <c r="A377">
        <v>1121723</v>
      </c>
      <c r="B377" t="s">
        <v>162</v>
      </c>
      <c r="C377" t="s">
        <v>4</v>
      </c>
      <c r="D377" t="s">
        <v>1</v>
      </c>
      <c r="E377" s="14">
        <v>2</v>
      </c>
      <c r="F377" s="14">
        <v>50947</v>
      </c>
      <c r="G377" s="14">
        <v>10</v>
      </c>
      <c r="H377" s="13">
        <v>15.99000025</v>
      </c>
      <c r="I377" s="14">
        <v>9</v>
      </c>
      <c r="J377" s="11">
        <f>I377*85</f>
        <v>765</v>
      </c>
      <c r="K377" s="11">
        <f>J377-H377</f>
        <v>749.00999975000002</v>
      </c>
      <c r="L377" s="10">
        <f>G377/F377</f>
        <v>1.9628241113313835E-4</v>
      </c>
      <c r="M377" s="14">
        <f>IFERROR(ROUND(I377/G377,2),0)</f>
        <v>0.9</v>
      </c>
      <c r="N377" s="11">
        <f>IFERROR(H377/G377,0)</f>
        <v>1.599000025</v>
      </c>
      <c r="O377" s="11">
        <f>IFERROR(H377/I377,0)</f>
        <v>1.7766666944444445</v>
      </c>
      <c r="P377" s="11">
        <f>IFERROR((J377-H377)/H377,0)</f>
        <v>46.842400752933074</v>
      </c>
    </row>
    <row r="378" spans="1:16">
      <c r="A378">
        <v>1121733</v>
      </c>
      <c r="B378" t="s">
        <v>162</v>
      </c>
      <c r="C378" t="s">
        <v>4</v>
      </c>
      <c r="D378" t="s">
        <v>1</v>
      </c>
      <c r="E378" s="14">
        <v>66</v>
      </c>
      <c r="F378" s="14">
        <v>55536</v>
      </c>
      <c r="G378" s="14">
        <v>11</v>
      </c>
      <c r="H378" s="13">
        <v>17.04999995</v>
      </c>
      <c r="I378" s="14">
        <v>9</v>
      </c>
      <c r="J378" s="11">
        <f>I378*85</f>
        <v>765</v>
      </c>
      <c r="K378" s="11">
        <f>J378-H378</f>
        <v>747.95000004999997</v>
      </c>
      <c r="L378" s="10">
        <f>G378/F378</f>
        <v>1.9806972054163066E-4</v>
      </c>
      <c r="M378" s="14">
        <f>IFERROR(ROUND(I378/G378,2),0)</f>
        <v>0.82</v>
      </c>
      <c r="N378" s="11">
        <f>IFERROR(H378/G378,0)</f>
        <v>1.5499999954545454</v>
      </c>
      <c r="O378" s="11">
        <f>IFERROR(H378/I378,0)</f>
        <v>1.8944444388888888</v>
      </c>
      <c r="P378" s="11">
        <f>IFERROR((J378-H378)/H378,0)</f>
        <v>43.868035322193649</v>
      </c>
    </row>
    <row r="379" spans="1:16">
      <c r="A379">
        <v>1121741</v>
      </c>
      <c r="B379" t="s">
        <v>162</v>
      </c>
      <c r="C379" t="s">
        <v>0</v>
      </c>
      <c r="D379" t="s">
        <v>5</v>
      </c>
      <c r="E379" s="14">
        <v>10</v>
      </c>
      <c r="F379" s="14">
        <v>318042</v>
      </c>
      <c r="G379" s="14">
        <v>46</v>
      </c>
      <c r="H379" s="13">
        <v>64.409999970000001</v>
      </c>
      <c r="I379" s="14">
        <v>9</v>
      </c>
      <c r="J379" s="11">
        <f>I379*85</f>
        <v>765</v>
      </c>
      <c r="K379" s="11">
        <f>J379-H379</f>
        <v>700.59000003000006</v>
      </c>
      <c r="L379" s="10">
        <f>G379/F379</f>
        <v>1.4463498531640476E-4</v>
      </c>
      <c r="M379" s="14">
        <f>IFERROR(ROUND(I379/G379,2),0)</f>
        <v>0.2</v>
      </c>
      <c r="N379" s="11">
        <f>IFERROR(H379/G379,0)</f>
        <v>1.400217390652174</v>
      </c>
      <c r="O379" s="11">
        <f>IFERROR(H379/I379,0)</f>
        <v>7.1566666633333336</v>
      </c>
      <c r="P379" s="11">
        <f>IFERROR((J379-H379)/H379,0)</f>
        <v>10.877037732592939</v>
      </c>
    </row>
    <row r="380" spans="1:16">
      <c r="A380">
        <v>1122005</v>
      </c>
      <c r="B380" t="s">
        <v>162</v>
      </c>
      <c r="C380" t="s">
        <v>2</v>
      </c>
      <c r="D380" t="s">
        <v>5</v>
      </c>
      <c r="E380" s="14">
        <v>63</v>
      </c>
      <c r="F380" s="14">
        <v>449588</v>
      </c>
      <c r="G380" s="14">
        <v>81</v>
      </c>
      <c r="H380" s="13">
        <v>123.80000099999999</v>
      </c>
      <c r="I380" s="14">
        <v>9</v>
      </c>
      <c r="J380" s="11">
        <f>I380*85</f>
        <v>765</v>
      </c>
      <c r="K380" s="11">
        <f>J380-H380</f>
        <v>641.19999900000005</v>
      </c>
      <c r="L380" s="10">
        <f>G380/F380</f>
        <v>1.8016495102182443E-4</v>
      </c>
      <c r="M380" s="14">
        <f>IFERROR(ROUND(I380/G380,2),0)</f>
        <v>0.11</v>
      </c>
      <c r="N380" s="11">
        <f>IFERROR(H380/G380,0)</f>
        <v>1.5283950740740739</v>
      </c>
      <c r="O380" s="11">
        <f>IFERROR(H380/I380,0)</f>
        <v>13.755555666666666</v>
      </c>
      <c r="P380" s="11">
        <f>IFERROR((J380-H380)/H380,0)</f>
        <v>5.1793214363544315</v>
      </c>
    </row>
    <row r="381" spans="1:16">
      <c r="A381">
        <v>1122054</v>
      </c>
      <c r="B381" t="s">
        <v>162</v>
      </c>
      <c r="C381" t="s">
        <v>3</v>
      </c>
      <c r="D381" t="s">
        <v>5</v>
      </c>
      <c r="E381" s="14">
        <v>16</v>
      </c>
      <c r="F381" s="14">
        <v>222273</v>
      </c>
      <c r="G381" s="14">
        <v>39</v>
      </c>
      <c r="H381" s="13">
        <v>53.62999868</v>
      </c>
      <c r="I381" s="14">
        <v>9</v>
      </c>
      <c r="J381" s="11">
        <f>I381*85</f>
        <v>765</v>
      </c>
      <c r="K381" s="11">
        <f>J381-H381</f>
        <v>711.37000132000003</v>
      </c>
      <c r="L381" s="10">
        <f>G381/F381</f>
        <v>1.7545990741115654E-4</v>
      </c>
      <c r="M381" s="14">
        <f>IFERROR(ROUND(I381/G381,2),0)</f>
        <v>0.23</v>
      </c>
      <c r="N381" s="11">
        <f>IFERROR(H381/G381,0)</f>
        <v>1.3751281712820513</v>
      </c>
      <c r="O381" s="11">
        <f>IFERROR(H381/I381,0)</f>
        <v>5.9588887422222223</v>
      </c>
      <c r="P381" s="11">
        <f>IFERROR((J381-H381)/H381,0)</f>
        <v>13.264404602442927</v>
      </c>
    </row>
    <row r="382" spans="1:16">
      <c r="A382">
        <v>1122101</v>
      </c>
      <c r="B382" t="s">
        <v>162</v>
      </c>
      <c r="C382" t="s">
        <v>3</v>
      </c>
      <c r="D382" t="s">
        <v>5</v>
      </c>
      <c r="E382" s="14">
        <v>25</v>
      </c>
      <c r="F382" s="14">
        <v>197772</v>
      </c>
      <c r="G382" s="14">
        <v>63</v>
      </c>
      <c r="H382" s="13">
        <v>88.210000160000007</v>
      </c>
      <c r="I382" s="14">
        <v>9</v>
      </c>
      <c r="J382" s="11">
        <f>I382*85</f>
        <v>765</v>
      </c>
      <c r="K382" s="11">
        <f>J382-H382</f>
        <v>676.78999983999995</v>
      </c>
      <c r="L382" s="10">
        <f>G382/F382</f>
        <v>3.1854863175778171E-4</v>
      </c>
      <c r="M382" s="14">
        <f>IFERROR(ROUND(I382/G382,2),0)</f>
        <v>0.14000000000000001</v>
      </c>
      <c r="N382" s="11">
        <f>IFERROR(H382/G382,0)</f>
        <v>1.4001587326984128</v>
      </c>
      <c r="O382" s="11">
        <f>IFERROR(H382/I382,0)</f>
        <v>9.8011111288888895</v>
      </c>
      <c r="P382" s="11">
        <f>IFERROR((J382-H382)/H382,0)</f>
        <v>7.6724860969550175</v>
      </c>
    </row>
    <row r="383" spans="1:16">
      <c r="A383">
        <v>1122166</v>
      </c>
      <c r="B383" t="s">
        <v>162</v>
      </c>
      <c r="C383" t="s">
        <v>3</v>
      </c>
      <c r="D383" t="s">
        <v>5</v>
      </c>
      <c r="E383" s="14">
        <v>65</v>
      </c>
      <c r="F383" s="14">
        <v>118451</v>
      </c>
      <c r="G383" s="14">
        <v>28</v>
      </c>
      <c r="H383" s="13">
        <v>38.350000620000003</v>
      </c>
      <c r="I383" s="14">
        <v>9</v>
      </c>
      <c r="J383" s="11">
        <f>I383*85</f>
        <v>765</v>
      </c>
      <c r="K383" s="11">
        <f>J383-H383</f>
        <v>726.64999938000005</v>
      </c>
      <c r="L383" s="10">
        <f>G383/F383</f>
        <v>2.3638466538906383E-4</v>
      </c>
      <c r="M383" s="14">
        <f>IFERROR(ROUND(I383/G383,2),0)</f>
        <v>0.32</v>
      </c>
      <c r="N383" s="11">
        <f>IFERROR(H383/G383,0)</f>
        <v>1.3696428792857145</v>
      </c>
      <c r="O383" s="11">
        <f>IFERROR(H383/I383,0)</f>
        <v>4.2611111800000003</v>
      </c>
      <c r="P383" s="11">
        <f>IFERROR((J383-H383)/H383,0)</f>
        <v>18.947848438913532</v>
      </c>
    </row>
    <row r="384" spans="1:16">
      <c r="A384">
        <v>1122191</v>
      </c>
      <c r="B384" t="s">
        <v>162</v>
      </c>
      <c r="C384" t="s">
        <v>4</v>
      </c>
      <c r="D384" t="s">
        <v>5</v>
      </c>
      <c r="E384" s="14">
        <v>10</v>
      </c>
      <c r="F384" s="14">
        <v>382776</v>
      </c>
      <c r="G384" s="14">
        <v>97</v>
      </c>
      <c r="H384" s="13">
        <v>132.73000070000001</v>
      </c>
      <c r="I384" s="14">
        <v>9</v>
      </c>
      <c r="J384" s="11">
        <f>I384*85</f>
        <v>765</v>
      </c>
      <c r="K384" s="11">
        <f>J384-H384</f>
        <v>632.26999929999999</v>
      </c>
      <c r="L384" s="10">
        <f>G384/F384</f>
        <v>2.5341191715259057E-4</v>
      </c>
      <c r="M384" s="14">
        <f>IFERROR(ROUND(I384/G384,2),0)</f>
        <v>0.09</v>
      </c>
      <c r="N384" s="11">
        <f>IFERROR(H384/G384,0)</f>
        <v>1.3683505226804125</v>
      </c>
      <c r="O384" s="11">
        <f>IFERROR(H384/I384,0)</f>
        <v>14.747777855555556</v>
      </c>
      <c r="P384" s="11">
        <f>IFERROR((J384-H384)/H384,0)</f>
        <v>4.7635801700105018</v>
      </c>
    </row>
    <row r="385" spans="1:16">
      <c r="A385">
        <v>1122277</v>
      </c>
      <c r="B385" t="s">
        <v>162</v>
      </c>
      <c r="C385" t="s">
        <v>4</v>
      </c>
      <c r="D385" t="s">
        <v>5</v>
      </c>
      <c r="E385" s="14">
        <v>29</v>
      </c>
      <c r="F385" s="14">
        <v>854940</v>
      </c>
      <c r="G385" s="14">
        <v>227</v>
      </c>
      <c r="H385" s="13">
        <v>297.91000070000001</v>
      </c>
      <c r="I385" s="14">
        <v>9</v>
      </c>
      <c r="J385" s="11">
        <f>I385*85</f>
        <v>765</v>
      </c>
      <c r="K385" s="11">
        <f>J385-H385</f>
        <v>467.08999929999999</v>
      </c>
      <c r="L385" s="10">
        <f>G385/F385</f>
        <v>2.6551570870470443E-4</v>
      </c>
      <c r="M385" s="14">
        <f>IFERROR(ROUND(I385/G385,2),0)</f>
        <v>0.04</v>
      </c>
      <c r="N385" s="11">
        <f>IFERROR(H385/G385,0)</f>
        <v>1.3123788577092512</v>
      </c>
      <c r="O385" s="11">
        <f>IFERROR(H385/I385,0)</f>
        <v>33.101111188888893</v>
      </c>
      <c r="P385" s="11">
        <f>IFERROR((J385-H385)/H385,0)</f>
        <v>1.567889625062862</v>
      </c>
    </row>
    <row r="386" spans="1:16">
      <c r="A386">
        <v>1314296</v>
      </c>
      <c r="B386" t="s">
        <v>162</v>
      </c>
      <c r="C386" t="s">
        <v>0</v>
      </c>
      <c r="D386" t="s">
        <v>1</v>
      </c>
      <c r="E386" s="14">
        <v>100</v>
      </c>
      <c r="F386" s="14">
        <v>33445</v>
      </c>
      <c r="G386" s="14">
        <v>2</v>
      </c>
      <c r="H386" s="13">
        <v>3.199999928</v>
      </c>
      <c r="I386" s="14">
        <v>9</v>
      </c>
      <c r="J386" s="11">
        <f>I386*85</f>
        <v>765</v>
      </c>
      <c r="K386" s="11">
        <f>J386-H386</f>
        <v>761.80000007199999</v>
      </c>
      <c r="L386" s="10">
        <f>G386/F386</f>
        <v>5.9799671101808939E-5</v>
      </c>
      <c r="M386" s="14">
        <f>IFERROR(ROUND(I386/G386,2),0)</f>
        <v>4.5</v>
      </c>
      <c r="N386" s="11">
        <f>IFERROR(H386/G386,0)</f>
        <v>1.599999964</v>
      </c>
      <c r="O386" s="11">
        <f>IFERROR(H386/I386,0)</f>
        <v>0.35555554755555557</v>
      </c>
      <c r="P386" s="11">
        <f>IFERROR((J386-H386)/H386,0)</f>
        <v>238.06250537890637</v>
      </c>
    </row>
    <row r="387" spans="1:16">
      <c r="A387">
        <v>1314312</v>
      </c>
      <c r="B387" t="s">
        <v>162</v>
      </c>
      <c r="C387" t="s">
        <v>2</v>
      </c>
      <c r="D387" t="s">
        <v>1</v>
      </c>
      <c r="E387" s="14">
        <v>101</v>
      </c>
      <c r="F387" s="14">
        <v>33534</v>
      </c>
      <c r="G387" s="14">
        <v>2</v>
      </c>
      <c r="H387" s="13">
        <v>2.960000038</v>
      </c>
      <c r="I387" s="14">
        <v>9</v>
      </c>
      <c r="J387" s="11">
        <f>I387*85</f>
        <v>765</v>
      </c>
      <c r="K387" s="11">
        <f>J387-H387</f>
        <v>762.03999996200002</v>
      </c>
      <c r="L387" s="10">
        <f>G387/F387</f>
        <v>5.9640961412297963E-5</v>
      </c>
      <c r="M387" s="14">
        <f>IFERROR(ROUND(I387/G387,2),0)</f>
        <v>4.5</v>
      </c>
      <c r="N387" s="11">
        <f>IFERROR(H387/G387,0)</f>
        <v>1.480000019</v>
      </c>
      <c r="O387" s="11">
        <f>IFERROR(H387/I387,0)</f>
        <v>0.32888889311111114</v>
      </c>
      <c r="P387" s="11">
        <f>IFERROR((J387-H387)/H387,0)</f>
        <v>257.44594262805884</v>
      </c>
    </row>
    <row r="388" spans="1:16">
      <c r="A388">
        <v>1314313</v>
      </c>
      <c r="B388" t="s">
        <v>162</v>
      </c>
      <c r="C388" t="s">
        <v>2</v>
      </c>
      <c r="D388" t="s">
        <v>1</v>
      </c>
      <c r="E388" s="14">
        <v>102</v>
      </c>
      <c r="F388" s="14">
        <v>128859</v>
      </c>
      <c r="G388" s="14">
        <v>16</v>
      </c>
      <c r="H388" s="13">
        <v>23.699999569999999</v>
      </c>
      <c r="I388" s="14">
        <v>9</v>
      </c>
      <c r="J388" s="11">
        <f>I388*85</f>
        <v>765</v>
      </c>
      <c r="K388" s="11">
        <f>J388-H388</f>
        <v>741.30000042999995</v>
      </c>
      <c r="L388" s="10">
        <f>G388/F388</f>
        <v>1.2416672486981894E-4</v>
      </c>
      <c r="M388" s="14">
        <f>IFERROR(ROUND(I388/G388,2),0)</f>
        <v>0.56000000000000005</v>
      </c>
      <c r="N388" s="11">
        <f>IFERROR(H388/G388,0)</f>
        <v>1.481249973125</v>
      </c>
      <c r="O388" s="11">
        <f>IFERROR(H388/I388,0)</f>
        <v>2.6333332855555556</v>
      </c>
      <c r="P388" s="11">
        <f>IFERROR((J388-H388)/H388,0)</f>
        <v>31.278481598301564</v>
      </c>
    </row>
    <row r="389" spans="1:16">
      <c r="A389">
        <v>1314318</v>
      </c>
      <c r="B389" t="s">
        <v>162</v>
      </c>
      <c r="C389" t="s">
        <v>2</v>
      </c>
      <c r="D389" t="s">
        <v>1</v>
      </c>
      <c r="E389" s="14">
        <v>107</v>
      </c>
      <c r="F389" s="14">
        <v>112776</v>
      </c>
      <c r="G389" s="14">
        <v>9</v>
      </c>
      <c r="H389" s="13">
        <v>12.679999949999999</v>
      </c>
      <c r="I389" s="14">
        <v>9</v>
      </c>
      <c r="J389" s="11">
        <f>I389*85</f>
        <v>765</v>
      </c>
      <c r="K389" s="11">
        <f>J389-H389</f>
        <v>752.32000004999998</v>
      </c>
      <c r="L389" s="10">
        <f>G389/F389</f>
        <v>7.9804213662481381E-5</v>
      </c>
      <c r="M389" s="14">
        <f>IFERROR(ROUND(I389/G389,2),0)</f>
        <v>1</v>
      </c>
      <c r="N389" s="11">
        <f>IFERROR(H389/G389,0)</f>
        <v>1.4088888833333333</v>
      </c>
      <c r="O389" s="11">
        <f>IFERROR(H389/I389,0)</f>
        <v>1.4088888833333333</v>
      </c>
      <c r="P389" s="11">
        <f>IFERROR((J389-H389)/H389,0)</f>
        <v>59.331230521810845</v>
      </c>
    </row>
    <row r="390" spans="1:16">
      <c r="A390">
        <v>1314325</v>
      </c>
      <c r="B390" t="s">
        <v>162</v>
      </c>
      <c r="C390" t="s">
        <v>2</v>
      </c>
      <c r="D390" t="s">
        <v>1</v>
      </c>
      <c r="E390" s="14">
        <v>114</v>
      </c>
      <c r="F390" s="14">
        <v>61441</v>
      </c>
      <c r="G390" s="14">
        <v>5</v>
      </c>
      <c r="H390" s="13">
        <v>7.7000000479999997</v>
      </c>
      <c r="I390" s="14">
        <v>9</v>
      </c>
      <c r="J390" s="11">
        <f>I390*85</f>
        <v>765</v>
      </c>
      <c r="K390" s="11">
        <f>J390-H390</f>
        <v>757.29999995200001</v>
      </c>
      <c r="L390" s="10">
        <f>G390/F390</f>
        <v>8.1378883807229705E-5</v>
      </c>
      <c r="M390" s="14">
        <f>IFERROR(ROUND(I390/G390,2),0)</f>
        <v>1.8</v>
      </c>
      <c r="N390" s="11">
        <f>IFERROR(H390/G390,0)</f>
        <v>1.5400000095999999</v>
      </c>
      <c r="O390" s="11">
        <f>IFERROR(H390/I390,0)</f>
        <v>0.85555556088888884</v>
      </c>
      <c r="P390" s="11">
        <f>IFERROR((J390-H390)/H390,0)</f>
        <v>98.350648731320632</v>
      </c>
    </row>
    <row r="391" spans="1:16">
      <c r="A391">
        <v>1314327</v>
      </c>
      <c r="B391" t="s">
        <v>162</v>
      </c>
      <c r="C391" t="s">
        <v>3</v>
      </c>
      <c r="D391" t="s">
        <v>1</v>
      </c>
      <c r="E391" s="14">
        <v>101</v>
      </c>
      <c r="F391" s="14">
        <v>68619</v>
      </c>
      <c r="G391" s="14">
        <v>10</v>
      </c>
      <c r="H391" s="13">
        <v>14.960000340000001</v>
      </c>
      <c r="I391" s="14">
        <v>9</v>
      </c>
      <c r="J391" s="11">
        <f>I391*85</f>
        <v>765</v>
      </c>
      <c r="K391" s="11">
        <f>J391-H391</f>
        <v>750.03999966000003</v>
      </c>
      <c r="L391" s="10">
        <f>G391/F391</f>
        <v>1.4573223159766247E-4</v>
      </c>
      <c r="M391" s="14">
        <f>IFERROR(ROUND(I391/G391,2),0)</f>
        <v>0.9</v>
      </c>
      <c r="N391" s="11">
        <f>IFERROR(H391/G391,0)</f>
        <v>1.4960000340000001</v>
      </c>
      <c r="O391" s="11">
        <f>IFERROR(H391/I391,0)</f>
        <v>1.6622222600000001</v>
      </c>
      <c r="P391" s="11">
        <f>IFERROR((J391-H391)/H391,0)</f>
        <v>50.13636247417358</v>
      </c>
    </row>
    <row r="392" spans="1:16">
      <c r="A392">
        <v>1314338</v>
      </c>
      <c r="B392" t="s">
        <v>162</v>
      </c>
      <c r="C392" t="s">
        <v>3</v>
      </c>
      <c r="D392" t="s">
        <v>1</v>
      </c>
      <c r="E392" s="14">
        <v>112</v>
      </c>
      <c r="F392" s="14">
        <v>91180</v>
      </c>
      <c r="G392" s="14">
        <v>10</v>
      </c>
      <c r="H392" s="13">
        <v>13.559999940000001</v>
      </c>
      <c r="I392" s="14">
        <v>9</v>
      </c>
      <c r="J392" s="11">
        <f>I392*85</f>
        <v>765</v>
      </c>
      <c r="K392" s="11">
        <f>J392-H392</f>
        <v>751.44000005999999</v>
      </c>
      <c r="L392" s="10">
        <f>G392/F392</f>
        <v>1.0967317394165388E-4</v>
      </c>
      <c r="M392" s="14">
        <f>IFERROR(ROUND(I392/G392,2),0)</f>
        <v>0.9</v>
      </c>
      <c r="N392" s="11">
        <f>IFERROR(H392/G392,0)</f>
        <v>1.355999994</v>
      </c>
      <c r="O392" s="11">
        <f>IFERROR(H392/I392,0)</f>
        <v>1.50666666</v>
      </c>
      <c r="P392" s="11">
        <f>IFERROR((J392-H392)/H392,0)</f>
        <v>55.415929453167827</v>
      </c>
    </row>
    <row r="393" spans="1:16">
      <c r="A393">
        <v>1314353</v>
      </c>
      <c r="B393" t="s">
        <v>162</v>
      </c>
      <c r="C393" t="s">
        <v>4</v>
      </c>
      <c r="D393" t="s">
        <v>1</v>
      </c>
      <c r="E393" s="14">
        <v>112</v>
      </c>
      <c r="F393" s="14">
        <v>108426</v>
      </c>
      <c r="G393" s="14">
        <v>13</v>
      </c>
      <c r="H393" s="13">
        <v>19.580000160000001</v>
      </c>
      <c r="I393" s="14">
        <v>9</v>
      </c>
      <c r="J393" s="11">
        <f>I393*85</f>
        <v>765</v>
      </c>
      <c r="K393" s="11">
        <f>J393-H393</f>
        <v>745.41999983999995</v>
      </c>
      <c r="L393" s="10">
        <f>G393/F393</f>
        <v>1.1989744157305443E-4</v>
      </c>
      <c r="M393" s="14">
        <f>IFERROR(ROUND(I393/G393,2),0)</f>
        <v>0.69</v>
      </c>
      <c r="N393" s="11">
        <f>IFERROR(H393/G393,0)</f>
        <v>1.5061538584615386</v>
      </c>
      <c r="O393" s="11">
        <f>IFERROR(H393/I393,0)</f>
        <v>2.1755555733333334</v>
      </c>
      <c r="P393" s="11">
        <f>IFERROR((J393-H393)/H393,0)</f>
        <v>38.070479762447555</v>
      </c>
    </row>
    <row r="394" spans="1:16">
      <c r="A394">
        <v>1314394</v>
      </c>
      <c r="B394" t="s">
        <v>162</v>
      </c>
      <c r="C394" t="s">
        <v>3</v>
      </c>
      <c r="D394" t="s">
        <v>5</v>
      </c>
      <c r="E394" s="14">
        <v>108</v>
      </c>
      <c r="F394" s="14">
        <v>1357386</v>
      </c>
      <c r="G394" s="14">
        <v>223</v>
      </c>
      <c r="H394" s="13">
        <v>323.06000710000001</v>
      </c>
      <c r="I394" s="14">
        <v>9</v>
      </c>
      <c r="J394" s="11">
        <f>I394*85</f>
        <v>765</v>
      </c>
      <c r="K394" s="11">
        <f>J394-H394</f>
        <v>441.93999289999999</v>
      </c>
      <c r="L394" s="10">
        <f>G394/F394</f>
        <v>1.6428635627595983E-4</v>
      </c>
      <c r="M394" s="14">
        <f>IFERROR(ROUND(I394/G394,2),0)</f>
        <v>0.04</v>
      </c>
      <c r="N394" s="11">
        <f>IFERROR(H394/G394,0)</f>
        <v>1.4486995834080718</v>
      </c>
      <c r="O394" s="11">
        <f>IFERROR(H394/I394,0)</f>
        <v>35.895556344444444</v>
      </c>
      <c r="P394" s="11">
        <f>IFERROR((J394-H394)/H394,0)</f>
        <v>1.3679811279246392</v>
      </c>
    </row>
    <row r="395" spans="1:16">
      <c r="A395">
        <v>1314414</v>
      </c>
      <c r="B395" t="s">
        <v>162</v>
      </c>
      <c r="C395" t="s">
        <v>4</v>
      </c>
      <c r="D395" t="s">
        <v>5</v>
      </c>
      <c r="E395" s="14">
        <v>113</v>
      </c>
      <c r="F395" s="14">
        <v>790253</v>
      </c>
      <c r="G395" s="14">
        <v>135</v>
      </c>
      <c r="H395" s="13">
        <v>198.71000050000001</v>
      </c>
      <c r="I395" s="14">
        <v>9</v>
      </c>
      <c r="J395" s="11">
        <f>I395*85</f>
        <v>765</v>
      </c>
      <c r="K395" s="11">
        <f>J395-H395</f>
        <v>566.28999950000002</v>
      </c>
      <c r="L395" s="10">
        <f>G395/F395</f>
        <v>1.7083136666358749E-4</v>
      </c>
      <c r="M395" s="14">
        <f>IFERROR(ROUND(I395/G395,2),0)</f>
        <v>7.0000000000000007E-2</v>
      </c>
      <c r="N395" s="11">
        <f>IFERROR(H395/G395,0)</f>
        <v>1.4719259296296296</v>
      </c>
      <c r="O395" s="11">
        <f>IFERROR(H395/I395,0)</f>
        <v>22.078888944444444</v>
      </c>
      <c r="P395" s="11">
        <f>IFERROR((J395-H395)/H395,0)</f>
        <v>2.8498314029242833</v>
      </c>
    </row>
    <row r="396" spans="1:16">
      <c r="A396">
        <v>1121134</v>
      </c>
      <c r="B396" t="s">
        <v>162</v>
      </c>
      <c r="C396" t="s">
        <v>0</v>
      </c>
      <c r="D396" t="s">
        <v>1</v>
      </c>
      <c r="E396" s="14">
        <v>22</v>
      </c>
      <c r="F396" s="14">
        <v>68905</v>
      </c>
      <c r="G396" s="14">
        <v>5</v>
      </c>
      <c r="H396" s="13">
        <v>9.4400000570000007</v>
      </c>
      <c r="I396" s="14">
        <v>8</v>
      </c>
      <c r="J396" s="11">
        <f>I396*85</f>
        <v>680</v>
      </c>
      <c r="K396" s="11">
        <f>J396-H396</f>
        <v>670.55999994299998</v>
      </c>
      <c r="L396" s="10">
        <f>G396/F396</f>
        <v>7.2563674624482989E-5</v>
      </c>
      <c r="M396" s="14">
        <f>IFERROR(ROUND(I396/G396,2),0)</f>
        <v>1.6</v>
      </c>
      <c r="N396" s="11">
        <f>IFERROR(H396/G396,0)</f>
        <v>1.8880000114000002</v>
      </c>
      <c r="O396" s="11">
        <f>IFERROR(H396/I396,0)</f>
        <v>1.1800000071250001</v>
      </c>
      <c r="P396" s="11">
        <f>IFERROR((J396-H396)/H396,0)</f>
        <v>71.033897870134297</v>
      </c>
    </row>
    <row r="397" spans="1:16">
      <c r="A397">
        <v>1121211</v>
      </c>
      <c r="B397" t="s">
        <v>162</v>
      </c>
      <c r="C397" t="s">
        <v>0</v>
      </c>
      <c r="D397" t="s">
        <v>1</v>
      </c>
      <c r="E397" s="14">
        <v>30</v>
      </c>
      <c r="F397" s="14">
        <v>223586</v>
      </c>
      <c r="G397" s="14">
        <v>32</v>
      </c>
      <c r="H397" s="13">
        <v>54.240000369999997</v>
      </c>
      <c r="I397" s="14">
        <v>8</v>
      </c>
      <c r="J397" s="11">
        <f>I397*85</f>
        <v>680</v>
      </c>
      <c r="K397" s="11">
        <f>J397-H397</f>
        <v>625.75999963000004</v>
      </c>
      <c r="L397" s="10">
        <f>G397/F397</f>
        <v>1.4312166235810829E-4</v>
      </c>
      <c r="M397" s="14">
        <f>IFERROR(ROUND(I397/G397,2),0)</f>
        <v>0.25</v>
      </c>
      <c r="N397" s="11">
        <f>IFERROR(H397/G397,0)</f>
        <v>1.6950000115624999</v>
      </c>
      <c r="O397" s="11">
        <f>IFERROR(H397/I397,0)</f>
        <v>6.7800000462499996</v>
      </c>
      <c r="P397" s="11">
        <f>IFERROR((J397-H397)/H397,0)</f>
        <v>11.536873070821478</v>
      </c>
    </row>
    <row r="398" spans="1:16">
      <c r="A398">
        <v>1121215</v>
      </c>
      <c r="B398" t="s">
        <v>162</v>
      </c>
      <c r="C398" t="s">
        <v>0</v>
      </c>
      <c r="D398" t="s">
        <v>1</v>
      </c>
      <c r="E398" s="14">
        <v>30</v>
      </c>
      <c r="F398" s="14">
        <v>41636</v>
      </c>
      <c r="G398" s="14">
        <v>3</v>
      </c>
      <c r="H398" s="13">
        <v>4.2100000380000004</v>
      </c>
      <c r="I398" s="14">
        <v>8</v>
      </c>
      <c r="J398" s="11">
        <f>I398*85</f>
        <v>680</v>
      </c>
      <c r="K398" s="11">
        <f>J398-H398</f>
        <v>675.78999996200002</v>
      </c>
      <c r="L398" s="10">
        <f>G398/F398</f>
        <v>7.2053031030838702E-5</v>
      </c>
      <c r="M398" s="14">
        <f>IFERROR(ROUND(I398/G398,2),0)</f>
        <v>2.67</v>
      </c>
      <c r="N398" s="11">
        <f>IFERROR(H398/G398,0)</f>
        <v>1.4033333460000001</v>
      </c>
      <c r="O398" s="11">
        <f>IFERROR(H398/I398,0)</f>
        <v>0.52625000475000006</v>
      </c>
      <c r="P398" s="11">
        <f>IFERROR((J398-H398)/H398,0)</f>
        <v>160.52018856585102</v>
      </c>
    </row>
    <row r="399" spans="1:16">
      <c r="A399">
        <v>1121284</v>
      </c>
      <c r="B399" t="s">
        <v>162</v>
      </c>
      <c r="C399" t="s">
        <v>0</v>
      </c>
      <c r="D399" t="s">
        <v>1</v>
      </c>
      <c r="E399" s="14">
        <v>66</v>
      </c>
      <c r="F399" s="14">
        <v>175631</v>
      </c>
      <c r="G399" s="14">
        <v>23</v>
      </c>
      <c r="H399" s="13">
        <v>40.75999951</v>
      </c>
      <c r="I399" s="14">
        <v>8</v>
      </c>
      <c r="J399" s="11">
        <f>I399*85</f>
        <v>680</v>
      </c>
      <c r="K399" s="11">
        <f>J399-H399</f>
        <v>639.24000049000006</v>
      </c>
      <c r="L399" s="10">
        <f>G399/F399</f>
        <v>1.3095638013790276E-4</v>
      </c>
      <c r="M399" s="14">
        <f>IFERROR(ROUND(I399/G399,2),0)</f>
        <v>0.35</v>
      </c>
      <c r="N399" s="11">
        <f>IFERROR(H399/G399,0)</f>
        <v>1.7721738917391305</v>
      </c>
      <c r="O399" s="11">
        <f>IFERROR(H399/I399,0)</f>
        <v>5.09499993875</v>
      </c>
      <c r="P399" s="11">
        <f>IFERROR((J399-H399)/H399,0)</f>
        <v>15.683022771704643</v>
      </c>
    </row>
    <row r="400" spans="1:16">
      <c r="A400">
        <v>1121430</v>
      </c>
      <c r="B400" t="s">
        <v>162</v>
      </c>
      <c r="C400" t="s">
        <v>2</v>
      </c>
      <c r="D400" t="s">
        <v>1</v>
      </c>
      <c r="E400" s="14">
        <v>7</v>
      </c>
      <c r="F400" s="14">
        <v>28989</v>
      </c>
      <c r="G400" s="14">
        <v>2</v>
      </c>
      <c r="H400" s="13">
        <v>2.290000021</v>
      </c>
      <c r="I400" s="14">
        <v>8</v>
      </c>
      <c r="J400" s="11">
        <f>I400*85</f>
        <v>680</v>
      </c>
      <c r="K400" s="11">
        <f>J400-H400</f>
        <v>677.70999997900003</v>
      </c>
      <c r="L400" s="10">
        <f>G400/F400</f>
        <v>6.8991686501776532E-5</v>
      </c>
      <c r="M400" s="14">
        <f>IFERROR(ROUND(I400/G400,2),0)</f>
        <v>4</v>
      </c>
      <c r="N400" s="11">
        <f>IFERROR(H400/G400,0)</f>
        <v>1.1450000105</v>
      </c>
      <c r="O400" s="11">
        <f>IFERROR(H400/I400,0)</f>
        <v>0.286250002625</v>
      </c>
      <c r="P400" s="11">
        <f>IFERROR((J400-H400)/H400,0)</f>
        <v>295.94322871798789</v>
      </c>
    </row>
    <row r="401" spans="1:16">
      <c r="A401">
        <v>1121510</v>
      </c>
      <c r="B401" t="s">
        <v>162</v>
      </c>
      <c r="C401" t="s">
        <v>3</v>
      </c>
      <c r="D401" t="s">
        <v>1</v>
      </c>
      <c r="E401" s="14">
        <v>26</v>
      </c>
      <c r="F401" s="14">
        <v>31202</v>
      </c>
      <c r="G401" s="14">
        <v>5</v>
      </c>
      <c r="H401" s="13">
        <v>6.7300000190000002</v>
      </c>
      <c r="I401" s="14">
        <v>8</v>
      </c>
      <c r="J401" s="11">
        <f>I401*85</f>
        <v>680</v>
      </c>
      <c r="K401" s="11">
        <f>J401-H401</f>
        <v>673.26999998099996</v>
      </c>
      <c r="L401" s="10">
        <f>G401/F401</f>
        <v>1.6024613806807256E-4</v>
      </c>
      <c r="M401" s="14">
        <f>IFERROR(ROUND(I401/G401,2),0)</f>
        <v>1.6</v>
      </c>
      <c r="N401" s="11">
        <f>IFERROR(H401/G401,0)</f>
        <v>1.3460000038</v>
      </c>
      <c r="O401" s="11">
        <f>IFERROR(H401/I401,0)</f>
        <v>0.84125000237500003</v>
      </c>
      <c r="P401" s="11">
        <f>IFERROR((J401-H401)/H401,0)</f>
        <v>100.04011858547365</v>
      </c>
    </row>
    <row r="402" spans="1:16">
      <c r="A402">
        <v>1121548</v>
      </c>
      <c r="B402" t="s">
        <v>162</v>
      </c>
      <c r="C402" t="s">
        <v>3</v>
      </c>
      <c r="D402" t="s">
        <v>1</v>
      </c>
      <c r="E402" s="14">
        <v>36</v>
      </c>
      <c r="F402" s="14">
        <v>59004</v>
      </c>
      <c r="G402" s="14">
        <v>8</v>
      </c>
      <c r="H402" s="13">
        <v>13.51000011</v>
      </c>
      <c r="I402" s="14">
        <v>8</v>
      </c>
      <c r="J402" s="11">
        <f>I402*85</f>
        <v>680</v>
      </c>
      <c r="K402" s="11">
        <f>J402-H402</f>
        <v>666.48999989000004</v>
      </c>
      <c r="L402" s="10">
        <f>G402/F402</f>
        <v>1.3558402820147786E-4</v>
      </c>
      <c r="M402" s="14">
        <f>IFERROR(ROUND(I402/G402,2),0)</f>
        <v>1</v>
      </c>
      <c r="N402" s="11">
        <f>IFERROR(H402/G402,0)</f>
        <v>1.68875001375</v>
      </c>
      <c r="O402" s="11">
        <f>IFERROR(H402/I402,0)</f>
        <v>1.68875001375</v>
      </c>
      <c r="P402" s="11">
        <f>IFERROR((J402-H402)/H402,0)</f>
        <v>49.333086192698779</v>
      </c>
    </row>
    <row r="403" spans="1:16">
      <c r="A403">
        <v>1121551</v>
      </c>
      <c r="B403" t="s">
        <v>162</v>
      </c>
      <c r="C403" t="s">
        <v>3</v>
      </c>
      <c r="D403" t="s">
        <v>1</v>
      </c>
      <c r="E403" s="14">
        <v>36</v>
      </c>
      <c r="F403" s="14">
        <v>196253</v>
      </c>
      <c r="G403" s="14">
        <v>32</v>
      </c>
      <c r="H403" s="13">
        <v>55.100000020000003</v>
      </c>
      <c r="I403" s="14">
        <v>8</v>
      </c>
      <c r="J403" s="11">
        <f>I403*85</f>
        <v>680</v>
      </c>
      <c r="K403" s="11">
        <f>J403-H403</f>
        <v>624.89999997999996</v>
      </c>
      <c r="L403" s="10">
        <f>G403/F403</f>
        <v>1.6305483228281861E-4</v>
      </c>
      <c r="M403" s="14">
        <f>IFERROR(ROUND(I403/G403,2),0)</f>
        <v>0.25</v>
      </c>
      <c r="N403" s="11">
        <f>IFERROR(H403/G403,0)</f>
        <v>1.7218750006250001</v>
      </c>
      <c r="O403" s="11">
        <f>IFERROR(H403/I403,0)</f>
        <v>6.8875000025000004</v>
      </c>
      <c r="P403" s="11">
        <f>IFERROR((J403-H403)/H403,0)</f>
        <v>11.341197817661996</v>
      </c>
    </row>
    <row r="404" spans="1:16">
      <c r="A404">
        <v>1121638</v>
      </c>
      <c r="B404" t="s">
        <v>162</v>
      </c>
      <c r="C404" t="s">
        <v>4</v>
      </c>
      <c r="D404" t="s">
        <v>1</v>
      </c>
      <c r="E404" s="14">
        <v>23</v>
      </c>
      <c r="F404" s="14">
        <v>18946</v>
      </c>
      <c r="G404" s="14">
        <v>2</v>
      </c>
      <c r="H404" s="13">
        <v>3.5999999049999998</v>
      </c>
      <c r="I404" s="14">
        <v>8</v>
      </c>
      <c r="J404" s="11">
        <f>I404*85</f>
        <v>680</v>
      </c>
      <c r="K404" s="11">
        <f>J404-H404</f>
        <v>676.400000095</v>
      </c>
      <c r="L404" s="10">
        <f>G404/F404</f>
        <v>1.0556317956296844E-4</v>
      </c>
      <c r="M404" s="14">
        <f>IFERROR(ROUND(I404/G404,2),0)</f>
        <v>4</v>
      </c>
      <c r="N404" s="11">
        <f>IFERROR(H404/G404,0)</f>
        <v>1.7999999524999999</v>
      </c>
      <c r="O404" s="11">
        <f>IFERROR(H404/I404,0)</f>
        <v>0.44999998812499997</v>
      </c>
      <c r="P404" s="11">
        <f>IFERROR((J404-H404)/H404,0)</f>
        <v>187.88889387345694</v>
      </c>
    </row>
    <row r="405" spans="1:16">
      <c r="A405">
        <v>1121706</v>
      </c>
      <c r="B405" t="s">
        <v>162</v>
      </c>
      <c r="C405" t="s">
        <v>4</v>
      </c>
      <c r="D405" t="s">
        <v>1</v>
      </c>
      <c r="E405" s="14">
        <v>63</v>
      </c>
      <c r="F405" s="14">
        <v>138959</v>
      </c>
      <c r="G405" s="14">
        <v>28</v>
      </c>
      <c r="H405" s="13">
        <v>39.520000699999997</v>
      </c>
      <c r="I405" s="14">
        <v>8</v>
      </c>
      <c r="J405" s="11">
        <f>I405*85</f>
        <v>680</v>
      </c>
      <c r="K405" s="11">
        <f>J405-H405</f>
        <v>640.47999930000003</v>
      </c>
      <c r="L405" s="10">
        <f>G405/F405</f>
        <v>2.0149828366640519E-4</v>
      </c>
      <c r="M405" s="14">
        <f>IFERROR(ROUND(I405/G405,2),0)</f>
        <v>0.28999999999999998</v>
      </c>
      <c r="N405" s="11">
        <f>IFERROR(H405/G405,0)</f>
        <v>1.4114285964285713</v>
      </c>
      <c r="O405" s="11">
        <f>IFERROR(H405/I405,0)</f>
        <v>4.9400000874999996</v>
      </c>
      <c r="P405" s="11">
        <f>IFERROR((J405-H405)/H405,0)</f>
        <v>16.206477428022922</v>
      </c>
    </row>
    <row r="406" spans="1:16">
      <c r="A406">
        <v>1121708</v>
      </c>
      <c r="B406" t="s">
        <v>162</v>
      </c>
      <c r="C406" t="s">
        <v>4</v>
      </c>
      <c r="D406" t="s">
        <v>1</v>
      </c>
      <c r="E406" s="14">
        <v>63</v>
      </c>
      <c r="F406" s="14">
        <v>68829</v>
      </c>
      <c r="G406" s="14">
        <v>12</v>
      </c>
      <c r="H406" s="13">
        <v>19.47999978</v>
      </c>
      <c r="I406" s="14">
        <v>8</v>
      </c>
      <c r="J406" s="11">
        <f>I406*85</f>
        <v>680</v>
      </c>
      <c r="K406" s="11">
        <f>J406-H406</f>
        <v>660.52000022000004</v>
      </c>
      <c r="L406" s="10">
        <f>G406/F406</f>
        <v>1.7434511615743365E-4</v>
      </c>
      <c r="M406" s="14">
        <f>IFERROR(ROUND(I406/G406,2),0)</f>
        <v>0.67</v>
      </c>
      <c r="N406" s="11">
        <f>IFERROR(H406/G406,0)</f>
        <v>1.623333315</v>
      </c>
      <c r="O406" s="11">
        <f>IFERROR(H406/I406,0)</f>
        <v>2.4349999725</v>
      </c>
      <c r="P406" s="11">
        <f>IFERROR((J406-H406)/H406,0)</f>
        <v>33.907597930167945</v>
      </c>
    </row>
    <row r="407" spans="1:16">
      <c r="A407">
        <v>1122109</v>
      </c>
      <c r="B407" t="s">
        <v>162</v>
      </c>
      <c r="C407" t="s">
        <v>3</v>
      </c>
      <c r="D407" t="s">
        <v>5</v>
      </c>
      <c r="E407" s="14">
        <v>26</v>
      </c>
      <c r="F407" s="14">
        <v>328365</v>
      </c>
      <c r="G407" s="14">
        <v>83</v>
      </c>
      <c r="H407" s="13">
        <v>117.3400005</v>
      </c>
      <c r="I407" s="14">
        <v>8</v>
      </c>
      <c r="J407" s="11">
        <f>I407*85</f>
        <v>680</v>
      </c>
      <c r="K407" s="11">
        <f>J407-H407</f>
        <v>562.65999950000003</v>
      </c>
      <c r="L407" s="10">
        <f>G407/F407</f>
        <v>2.5276749958125867E-4</v>
      </c>
      <c r="M407" s="14">
        <f>IFERROR(ROUND(I407/G407,2),0)</f>
        <v>0.1</v>
      </c>
      <c r="N407" s="11">
        <f>IFERROR(H407/G407,0)</f>
        <v>1.4137349457831325</v>
      </c>
      <c r="O407" s="11">
        <f>IFERROR(H407/I407,0)</f>
        <v>14.6675000625</v>
      </c>
      <c r="P407" s="11">
        <f>IFERROR((J407-H407)/H407,0)</f>
        <v>4.7951252522791661</v>
      </c>
    </row>
    <row r="408" spans="1:16">
      <c r="A408">
        <v>1122112</v>
      </c>
      <c r="B408" t="s">
        <v>162</v>
      </c>
      <c r="C408" t="s">
        <v>3</v>
      </c>
      <c r="D408" t="s">
        <v>5</v>
      </c>
      <c r="E408" s="14">
        <v>27</v>
      </c>
      <c r="F408" s="14">
        <v>1083259</v>
      </c>
      <c r="G408" s="14">
        <v>276</v>
      </c>
      <c r="H408" s="13">
        <v>390.25999919999998</v>
      </c>
      <c r="I408" s="14">
        <v>8</v>
      </c>
      <c r="J408" s="11">
        <f>I408*85</f>
        <v>680</v>
      </c>
      <c r="K408" s="11">
        <f>J408-H408</f>
        <v>289.74000080000002</v>
      </c>
      <c r="L408" s="10">
        <f>G408/F408</f>
        <v>2.5478671305754211E-4</v>
      </c>
      <c r="M408" s="14">
        <f>IFERROR(ROUND(I408/G408,2),0)</f>
        <v>0.03</v>
      </c>
      <c r="N408" s="11">
        <f>IFERROR(H408/G408,0)</f>
        <v>1.413985504347826</v>
      </c>
      <c r="O408" s="11">
        <f>IFERROR(H408/I408,0)</f>
        <v>48.782499899999998</v>
      </c>
      <c r="P408" s="11">
        <f>IFERROR((J408-H408)/H408,0)</f>
        <v>0.74242812841168071</v>
      </c>
    </row>
    <row r="409" spans="1:16">
      <c r="A409">
        <v>1122121</v>
      </c>
      <c r="B409" t="s">
        <v>162</v>
      </c>
      <c r="C409" t="s">
        <v>3</v>
      </c>
      <c r="D409" t="s">
        <v>5</v>
      </c>
      <c r="E409" s="14">
        <v>28</v>
      </c>
      <c r="F409" s="14">
        <v>133419</v>
      </c>
      <c r="G409" s="14">
        <v>35</v>
      </c>
      <c r="H409" s="13">
        <v>48.180000069999998</v>
      </c>
      <c r="I409" s="14">
        <v>8</v>
      </c>
      <c r="J409" s="11">
        <f>I409*85</f>
        <v>680</v>
      </c>
      <c r="K409" s="11">
        <f>J409-H409</f>
        <v>631.81999992999999</v>
      </c>
      <c r="L409" s="10">
        <f>G409/F409</f>
        <v>2.6233145204206299E-4</v>
      </c>
      <c r="M409" s="14">
        <f>IFERROR(ROUND(I409/G409,2),0)</f>
        <v>0.23</v>
      </c>
      <c r="N409" s="11">
        <f>IFERROR(H409/G409,0)</f>
        <v>1.3765714305714285</v>
      </c>
      <c r="O409" s="11">
        <f>IFERROR(H409/I409,0)</f>
        <v>6.0225000087499998</v>
      </c>
      <c r="P409" s="11">
        <f>IFERROR((J409-H409)/H409,0)</f>
        <v>13.113740120631761</v>
      </c>
    </row>
    <row r="410" spans="1:16">
      <c r="A410">
        <v>1122193</v>
      </c>
      <c r="B410" t="s">
        <v>162</v>
      </c>
      <c r="C410" t="s">
        <v>4</v>
      </c>
      <c r="D410" t="s">
        <v>5</v>
      </c>
      <c r="E410" s="14">
        <v>10</v>
      </c>
      <c r="F410" s="14">
        <v>1358324</v>
      </c>
      <c r="G410" s="14">
        <v>346</v>
      </c>
      <c r="H410" s="13">
        <v>465.07999810000001</v>
      </c>
      <c r="I410" s="14">
        <v>8</v>
      </c>
      <c r="J410" s="11">
        <f>I410*85</f>
        <v>680</v>
      </c>
      <c r="K410" s="11">
        <f>J410-H410</f>
        <v>214.92000189999999</v>
      </c>
      <c r="L410" s="10">
        <f>G410/F410</f>
        <v>2.5472567664268613E-4</v>
      </c>
      <c r="M410" s="14">
        <f>IFERROR(ROUND(I410/G410,2),0)</f>
        <v>0.02</v>
      </c>
      <c r="N410" s="11">
        <f>IFERROR(H410/G410,0)</f>
        <v>1.3441618442196532</v>
      </c>
      <c r="O410" s="11">
        <f>IFERROR(H410/I410,0)</f>
        <v>58.134999762500001</v>
      </c>
      <c r="P410" s="11">
        <f>IFERROR((J410-H410)/H410,0)</f>
        <v>0.46211405086870361</v>
      </c>
    </row>
    <row r="411" spans="1:16">
      <c r="A411">
        <v>1122212</v>
      </c>
      <c r="B411" t="s">
        <v>162</v>
      </c>
      <c r="C411" t="s">
        <v>4</v>
      </c>
      <c r="D411" t="s">
        <v>5</v>
      </c>
      <c r="E411" s="14">
        <v>18</v>
      </c>
      <c r="F411" s="14">
        <v>685211</v>
      </c>
      <c r="G411" s="14">
        <v>164</v>
      </c>
      <c r="H411" s="13">
        <v>247.32000260000001</v>
      </c>
      <c r="I411" s="14">
        <v>8</v>
      </c>
      <c r="J411" s="11">
        <f>I411*85</f>
        <v>680</v>
      </c>
      <c r="K411" s="11">
        <f>J411-H411</f>
        <v>432.67999739999999</v>
      </c>
      <c r="L411" s="10">
        <f>G411/F411</f>
        <v>2.3934233396720133E-4</v>
      </c>
      <c r="M411" s="14">
        <f>IFERROR(ROUND(I411/G411,2),0)</f>
        <v>0.05</v>
      </c>
      <c r="N411" s="11">
        <f>IFERROR(H411/G411,0)</f>
        <v>1.5080487963414635</v>
      </c>
      <c r="O411" s="11">
        <f>IFERROR(H411/I411,0)</f>
        <v>30.915000325000001</v>
      </c>
      <c r="P411" s="11">
        <f>IFERROR((J411-H411)/H411,0)</f>
        <v>1.749474336290501</v>
      </c>
    </row>
    <row r="412" spans="1:16">
      <c r="A412">
        <v>1122257</v>
      </c>
      <c r="B412" t="s">
        <v>162</v>
      </c>
      <c r="C412" t="s">
        <v>4</v>
      </c>
      <c r="D412" t="s">
        <v>5</v>
      </c>
      <c r="E412" s="14">
        <v>26</v>
      </c>
      <c r="F412" s="14">
        <v>669671</v>
      </c>
      <c r="G412" s="14">
        <v>186</v>
      </c>
      <c r="H412" s="13">
        <v>259.17999880000002</v>
      </c>
      <c r="I412" s="14">
        <v>8</v>
      </c>
      <c r="J412" s="11">
        <f>I412*85</f>
        <v>680</v>
      </c>
      <c r="K412" s="11">
        <f>J412-H412</f>
        <v>420.82000119999998</v>
      </c>
      <c r="L412" s="10">
        <f>G412/F412</f>
        <v>2.7774832716363708E-4</v>
      </c>
      <c r="M412" s="14">
        <f>IFERROR(ROUND(I412/G412,2),0)</f>
        <v>0.04</v>
      </c>
      <c r="N412" s="11">
        <f>IFERROR(H412/G412,0)</f>
        <v>1.3934408537634411</v>
      </c>
      <c r="O412" s="11">
        <f>IFERROR(H412/I412,0)</f>
        <v>32.397499850000003</v>
      </c>
      <c r="P412" s="11">
        <f>IFERROR((J412-H412)/H412,0)</f>
        <v>1.6236592451130143</v>
      </c>
    </row>
    <row r="413" spans="1:16">
      <c r="A413">
        <v>1122265</v>
      </c>
      <c r="B413" t="s">
        <v>162</v>
      </c>
      <c r="C413" t="s">
        <v>4</v>
      </c>
      <c r="D413" t="s">
        <v>5</v>
      </c>
      <c r="E413" s="14">
        <v>27</v>
      </c>
      <c r="F413" s="14">
        <v>1428421</v>
      </c>
      <c r="G413" s="14">
        <v>367</v>
      </c>
      <c r="H413" s="13">
        <v>541.70000230000005</v>
      </c>
      <c r="I413" s="14">
        <v>8</v>
      </c>
      <c r="J413" s="11">
        <f>I413*85</f>
        <v>680</v>
      </c>
      <c r="K413" s="11">
        <f>J413-H413</f>
        <v>138.29999769999995</v>
      </c>
      <c r="L413" s="10">
        <f>G413/F413</f>
        <v>2.5692705441883028E-4</v>
      </c>
      <c r="M413" s="14">
        <f>IFERROR(ROUND(I413/G413,2),0)</f>
        <v>0.02</v>
      </c>
      <c r="N413" s="11">
        <f>IFERROR(H413/G413,0)</f>
        <v>1.4760218046321527</v>
      </c>
      <c r="O413" s="11">
        <f>IFERROR(H413/I413,0)</f>
        <v>67.712500287500006</v>
      </c>
      <c r="P413" s="11">
        <f>IFERROR((J413-H413)/H413,0)</f>
        <v>0.25530736037067198</v>
      </c>
    </row>
    <row r="414" spans="1:16">
      <c r="A414">
        <v>1122276</v>
      </c>
      <c r="B414" t="s">
        <v>162</v>
      </c>
      <c r="C414" t="s">
        <v>4</v>
      </c>
      <c r="D414" t="s">
        <v>5</v>
      </c>
      <c r="E414" s="14">
        <v>29</v>
      </c>
      <c r="F414" s="14">
        <v>264386</v>
      </c>
      <c r="G414" s="14">
        <v>66</v>
      </c>
      <c r="H414" s="13">
        <v>91.000000540000002</v>
      </c>
      <c r="I414" s="14">
        <v>8</v>
      </c>
      <c r="J414" s="11">
        <f>I414*85</f>
        <v>680</v>
      </c>
      <c r="K414" s="11">
        <f>J414-H414</f>
        <v>588.99999946000003</v>
      </c>
      <c r="L414" s="10">
        <f>G414/F414</f>
        <v>2.4963500336629022E-4</v>
      </c>
      <c r="M414" s="14">
        <f>IFERROR(ROUND(I414/G414,2),0)</f>
        <v>0.12</v>
      </c>
      <c r="N414" s="11">
        <f>IFERROR(H414/G414,0)</f>
        <v>1.378787886969697</v>
      </c>
      <c r="O414" s="11">
        <f>IFERROR(H414/I414,0)</f>
        <v>11.3750000675</v>
      </c>
      <c r="P414" s="11">
        <f>IFERROR((J414-H414)/H414,0)</f>
        <v>6.4725274281850025</v>
      </c>
    </row>
    <row r="415" spans="1:16">
      <c r="A415">
        <v>1314307</v>
      </c>
      <c r="B415" t="s">
        <v>162</v>
      </c>
      <c r="C415" t="s">
        <v>0</v>
      </c>
      <c r="D415" t="s">
        <v>1</v>
      </c>
      <c r="E415" s="14">
        <v>111</v>
      </c>
      <c r="F415" s="14">
        <v>98606</v>
      </c>
      <c r="G415" s="14">
        <v>9</v>
      </c>
      <c r="H415" s="13">
        <v>12.10999984</v>
      </c>
      <c r="I415" s="14">
        <v>8</v>
      </c>
      <c r="J415" s="11">
        <f>I415*85</f>
        <v>680</v>
      </c>
      <c r="K415" s="11">
        <f>J415-H415</f>
        <v>667.89000016</v>
      </c>
      <c r="L415" s="10">
        <f>G415/F415</f>
        <v>9.1272336368983627E-5</v>
      </c>
      <c r="M415" s="14">
        <f>IFERROR(ROUND(I415/G415,2),0)</f>
        <v>0.89</v>
      </c>
      <c r="N415" s="11">
        <f>IFERROR(H415/G415,0)</f>
        <v>1.3455555377777779</v>
      </c>
      <c r="O415" s="11">
        <f>IFERROR(H415/I415,0)</f>
        <v>1.5137499800000001</v>
      </c>
      <c r="P415" s="11">
        <f>IFERROR((J415-H415)/H415,0)</f>
        <v>55.151941286896005</v>
      </c>
    </row>
    <row r="416" spans="1:16">
      <c r="A416">
        <v>1314355</v>
      </c>
      <c r="B416" t="s">
        <v>162</v>
      </c>
      <c r="C416" t="s">
        <v>4</v>
      </c>
      <c r="D416" t="s">
        <v>1</v>
      </c>
      <c r="E416" s="14">
        <v>114</v>
      </c>
      <c r="F416" s="14">
        <v>150858</v>
      </c>
      <c r="G416" s="14">
        <v>21</v>
      </c>
      <c r="H416" s="13">
        <v>30.26000011</v>
      </c>
      <c r="I416" s="14">
        <v>8</v>
      </c>
      <c r="J416" s="11">
        <f>I416*85</f>
        <v>680</v>
      </c>
      <c r="K416" s="11">
        <f>J416-H416</f>
        <v>649.73999989000004</v>
      </c>
      <c r="L416" s="10">
        <f>G416/F416</f>
        <v>1.3920375452412202E-4</v>
      </c>
      <c r="M416" s="14">
        <f>IFERROR(ROUND(I416/G416,2),0)</f>
        <v>0.38</v>
      </c>
      <c r="N416" s="11">
        <f>IFERROR(H416/G416,0)</f>
        <v>1.4409523861904763</v>
      </c>
      <c r="O416" s="11">
        <f>IFERROR(H416/I416,0)</f>
        <v>3.78250001375</v>
      </c>
      <c r="P416" s="11">
        <f>IFERROR((J416-H416)/H416,0)</f>
        <v>21.471910030670522</v>
      </c>
    </row>
    <row r="417" spans="1:16">
      <c r="A417">
        <v>1314381</v>
      </c>
      <c r="B417" t="s">
        <v>162</v>
      </c>
      <c r="C417" t="s">
        <v>2</v>
      </c>
      <c r="D417" t="s">
        <v>5</v>
      </c>
      <c r="E417" s="14">
        <v>110</v>
      </c>
      <c r="F417" s="14">
        <v>357401</v>
      </c>
      <c r="G417" s="14">
        <v>47</v>
      </c>
      <c r="H417" s="13">
        <v>68.670000079999994</v>
      </c>
      <c r="I417" s="14">
        <v>8</v>
      </c>
      <c r="J417" s="11">
        <f>I417*85</f>
        <v>680</v>
      </c>
      <c r="K417" s="11">
        <f>J417-H417</f>
        <v>611.32999991999998</v>
      </c>
      <c r="L417" s="10">
        <f>G417/F417</f>
        <v>1.315049482234241E-4</v>
      </c>
      <c r="M417" s="14">
        <f>IFERROR(ROUND(I417/G417,2),0)</f>
        <v>0.17</v>
      </c>
      <c r="N417" s="11">
        <f>IFERROR(H417/G417,0)</f>
        <v>1.4610638314893616</v>
      </c>
      <c r="O417" s="11">
        <f>IFERROR(H417/I417,0)</f>
        <v>8.5837500099999993</v>
      </c>
      <c r="P417" s="11">
        <f>IFERROR((J417-H417)/H417,0)</f>
        <v>8.9024319092442905</v>
      </c>
    </row>
    <row r="418" spans="1:16">
      <c r="A418">
        <v>1314415</v>
      </c>
      <c r="B418" t="s">
        <v>162</v>
      </c>
      <c r="C418" t="s">
        <v>4</v>
      </c>
      <c r="D418" t="s">
        <v>5</v>
      </c>
      <c r="E418" s="14">
        <v>114</v>
      </c>
      <c r="F418" s="14">
        <v>513161</v>
      </c>
      <c r="G418" s="14">
        <v>114</v>
      </c>
      <c r="H418" s="13">
        <v>165.60999870000001</v>
      </c>
      <c r="I418" s="14">
        <v>8</v>
      </c>
      <c r="J418" s="11">
        <f>I418*85</f>
        <v>680</v>
      </c>
      <c r="K418" s="11">
        <f>J418-H418</f>
        <v>514.39000129999999</v>
      </c>
      <c r="L418" s="10">
        <f>G418/F418</f>
        <v>2.2215250184639908E-4</v>
      </c>
      <c r="M418" s="14">
        <f>IFERROR(ROUND(I418/G418,2),0)</f>
        <v>7.0000000000000007E-2</v>
      </c>
      <c r="N418" s="11">
        <f>IFERROR(H418/G418,0)</f>
        <v>1.4527192868421053</v>
      </c>
      <c r="O418" s="11">
        <f>IFERROR(H418/I418,0)</f>
        <v>20.701249837500001</v>
      </c>
      <c r="P418" s="11">
        <f>IFERROR((J418-H418)/H418,0)</f>
        <v>3.1060322766610828</v>
      </c>
    </row>
    <row r="419" spans="1:16">
      <c r="A419">
        <v>1121352</v>
      </c>
      <c r="B419" t="s">
        <v>162</v>
      </c>
      <c r="C419" t="s">
        <v>2</v>
      </c>
      <c r="D419" t="s">
        <v>1</v>
      </c>
      <c r="E419" s="14">
        <v>25</v>
      </c>
      <c r="F419" s="14">
        <v>368986</v>
      </c>
      <c r="G419" s="14">
        <v>59</v>
      </c>
      <c r="H419" s="13">
        <v>100.28999899999999</v>
      </c>
      <c r="I419" s="14">
        <v>7</v>
      </c>
      <c r="J419" s="11">
        <f>I419*85</f>
        <v>595</v>
      </c>
      <c r="K419" s="11">
        <f>J419-H419</f>
        <v>494.71000100000003</v>
      </c>
      <c r="L419" s="10">
        <f>G419/F419</f>
        <v>1.5989766549408379E-4</v>
      </c>
      <c r="M419" s="14">
        <f>IFERROR(ROUND(I419/G419,2),0)</f>
        <v>0.12</v>
      </c>
      <c r="N419" s="11">
        <f>IFERROR(H419/G419,0)</f>
        <v>1.6998304915254236</v>
      </c>
      <c r="O419" s="11">
        <f>IFERROR(H419/I419,0)</f>
        <v>14.327142714285714</v>
      </c>
      <c r="P419" s="11">
        <f>IFERROR((J419-H419)/H419,0)</f>
        <v>4.9327949539614622</v>
      </c>
    </row>
    <row r="420" spans="1:16">
      <c r="A420">
        <v>1121749</v>
      </c>
      <c r="B420" t="s">
        <v>162</v>
      </c>
      <c r="C420" t="s">
        <v>0</v>
      </c>
      <c r="D420" t="s">
        <v>5</v>
      </c>
      <c r="E420" s="14">
        <v>15</v>
      </c>
      <c r="F420" s="14">
        <v>333345</v>
      </c>
      <c r="G420" s="14">
        <v>52</v>
      </c>
      <c r="H420" s="13">
        <v>77.590000270000004</v>
      </c>
      <c r="I420" s="14">
        <v>7</v>
      </c>
      <c r="J420" s="11">
        <f>I420*85</f>
        <v>595</v>
      </c>
      <c r="K420" s="11">
        <f>J420-H420</f>
        <v>517.40999972999998</v>
      </c>
      <c r="L420" s="10">
        <f>G420/F420</f>
        <v>1.5599454019109331E-4</v>
      </c>
      <c r="M420" s="14">
        <f>IFERROR(ROUND(I420/G420,2),0)</f>
        <v>0.13</v>
      </c>
      <c r="N420" s="11">
        <f>IFERROR(H420/G420,0)</f>
        <v>1.4921153898076924</v>
      </c>
      <c r="O420" s="11">
        <f>IFERROR(H420/I420,0)</f>
        <v>11.084285752857143</v>
      </c>
      <c r="P420" s="11">
        <f>IFERROR((J420-H420)/H420,0)</f>
        <v>6.6685139570756693</v>
      </c>
    </row>
    <row r="421" spans="1:16">
      <c r="A421">
        <v>1121773</v>
      </c>
      <c r="B421" t="s">
        <v>162</v>
      </c>
      <c r="C421" t="s">
        <v>0</v>
      </c>
      <c r="D421" t="s">
        <v>5</v>
      </c>
      <c r="E421" s="14">
        <v>20</v>
      </c>
      <c r="F421" s="14">
        <v>319131</v>
      </c>
      <c r="G421" s="14">
        <v>51</v>
      </c>
      <c r="H421" s="13">
        <v>76.680000250000006</v>
      </c>
      <c r="I421" s="14">
        <v>7</v>
      </c>
      <c r="J421" s="11">
        <f>I421*85</f>
        <v>595</v>
      </c>
      <c r="K421" s="11">
        <f>J421-H421</f>
        <v>518.31999974999997</v>
      </c>
      <c r="L421" s="10">
        <f>G421/F421</f>
        <v>1.5980898126474708E-4</v>
      </c>
      <c r="M421" s="14">
        <f>IFERROR(ROUND(I421/G421,2),0)</f>
        <v>0.14000000000000001</v>
      </c>
      <c r="N421" s="11">
        <f>IFERROR(H421/G421,0)</f>
        <v>1.5035294166666668</v>
      </c>
      <c r="O421" s="11">
        <f>IFERROR(H421/I421,0)</f>
        <v>10.95428575</v>
      </c>
      <c r="P421" s="11">
        <f>IFERROR((J421-H421)/H421,0)</f>
        <v>6.7595200581653616</v>
      </c>
    </row>
    <row r="422" spans="1:16">
      <c r="A422">
        <v>1121776</v>
      </c>
      <c r="B422" t="s">
        <v>162</v>
      </c>
      <c r="C422" t="s">
        <v>0</v>
      </c>
      <c r="D422" t="s">
        <v>5</v>
      </c>
      <c r="E422" s="14">
        <v>21</v>
      </c>
      <c r="F422" s="14">
        <v>103709</v>
      </c>
      <c r="G422" s="14">
        <v>15</v>
      </c>
      <c r="H422" s="13">
        <v>24.56999969</v>
      </c>
      <c r="I422" s="14">
        <v>7</v>
      </c>
      <c r="J422" s="11">
        <f>I422*85</f>
        <v>595</v>
      </c>
      <c r="K422" s="11">
        <f>J422-H422</f>
        <v>570.43000030999997</v>
      </c>
      <c r="L422" s="10">
        <f>G422/F422</f>
        <v>1.4463547040276158E-4</v>
      </c>
      <c r="M422" s="14">
        <f>IFERROR(ROUND(I422/G422,2),0)</f>
        <v>0.47</v>
      </c>
      <c r="N422" s="11">
        <f>IFERROR(H422/G422,0)</f>
        <v>1.6379999793333333</v>
      </c>
      <c r="O422" s="11">
        <f>IFERROR(H422/I422,0)</f>
        <v>3.5099999557142856</v>
      </c>
      <c r="P422" s="11">
        <f>IFERROR((J422-H422)/H422,0)</f>
        <v>23.216524522064411</v>
      </c>
    </row>
    <row r="423" spans="1:16">
      <c r="A423">
        <v>1121901</v>
      </c>
      <c r="B423" t="s">
        <v>162</v>
      </c>
      <c r="C423" t="s">
        <v>2</v>
      </c>
      <c r="D423" t="s">
        <v>5</v>
      </c>
      <c r="E423" s="14">
        <v>16</v>
      </c>
      <c r="F423" s="14">
        <v>1020561</v>
      </c>
      <c r="G423" s="14">
        <v>172</v>
      </c>
      <c r="H423" s="13">
        <v>263.81000069999999</v>
      </c>
      <c r="I423" s="14">
        <v>7</v>
      </c>
      <c r="J423" s="11">
        <f>I423*85</f>
        <v>595</v>
      </c>
      <c r="K423" s="11">
        <f>J423-H423</f>
        <v>331.18999930000001</v>
      </c>
      <c r="L423" s="10">
        <f>G423/F423</f>
        <v>1.6853475686411689E-4</v>
      </c>
      <c r="M423" s="14">
        <f>IFERROR(ROUND(I423/G423,2),0)</f>
        <v>0.04</v>
      </c>
      <c r="N423" s="11">
        <f>IFERROR(H423/G423,0)</f>
        <v>1.5337790738372092</v>
      </c>
      <c r="O423" s="11">
        <f>IFERROR(H423/I423,0)</f>
        <v>37.687142957142854</v>
      </c>
      <c r="P423" s="11">
        <f>IFERROR((J423-H423)/H423,0)</f>
        <v>1.255411085331156</v>
      </c>
    </row>
    <row r="424" spans="1:16">
      <c r="A424">
        <v>1121905</v>
      </c>
      <c r="B424" t="s">
        <v>162</v>
      </c>
      <c r="C424" t="s">
        <v>2</v>
      </c>
      <c r="D424" t="s">
        <v>5</v>
      </c>
      <c r="E424" s="14">
        <v>16</v>
      </c>
      <c r="F424" s="14">
        <v>905699</v>
      </c>
      <c r="G424" s="14">
        <v>161</v>
      </c>
      <c r="H424" s="13">
        <v>234.65999819999999</v>
      </c>
      <c r="I424" s="14">
        <v>7</v>
      </c>
      <c r="J424" s="11">
        <f>I424*85</f>
        <v>595</v>
      </c>
      <c r="K424" s="11">
        <f>J424-H424</f>
        <v>360.34000179999998</v>
      </c>
      <c r="L424" s="10">
        <f>G424/F424</f>
        <v>1.7776325247129566E-4</v>
      </c>
      <c r="M424" s="14">
        <f>IFERROR(ROUND(I424/G424,2),0)</f>
        <v>0.04</v>
      </c>
      <c r="N424" s="11">
        <f>IFERROR(H424/G424,0)</f>
        <v>1.4575155167701863</v>
      </c>
      <c r="O424" s="11">
        <f>IFERROR(H424/I424,0)</f>
        <v>33.522856885714283</v>
      </c>
      <c r="P424" s="11">
        <f>IFERROR((J424-H424)/H424,0)</f>
        <v>1.5355834167052338</v>
      </c>
    </row>
    <row r="425" spans="1:16">
      <c r="A425">
        <v>1121949</v>
      </c>
      <c r="B425" t="s">
        <v>162</v>
      </c>
      <c r="C425" t="s">
        <v>2</v>
      </c>
      <c r="D425" t="s">
        <v>5</v>
      </c>
      <c r="E425" s="14">
        <v>25</v>
      </c>
      <c r="F425" s="14">
        <v>221576</v>
      </c>
      <c r="G425" s="14">
        <v>47</v>
      </c>
      <c r="H425" s="13">
        <v>66.790000680000006</v>
      </c>
      <c r="I425" s="14">
        <v>7</v>
      </c>
      <c r="J425" s="11">
        <f>I425*85</f>
        <v>595</v>
      </c>
      <c r="K425" s="11">
        <f>J425-H425</f>
        <v>528.20999931999995</v>
      </c>
      <c r="L425" s="10">
        <f>G425/F425</f>
        <v>2.1211683575838539E-4</v>
      </c>
      <c r="M425" s="14">
        <f>IFERROR(ROUND(I425/G425,2),0)</f>
        <v>0.15</v>
      </c>
      <c r="N425" s="11">
        <f>IFERROR(H425/G425,0)</f>
        <v>1.4210638442553192</v>
      </c>
      <c r="O425" s="11">
        <f>IFERROR(H425/I425,0)</f>
        <v>9.5414286685714291</v>
      </c>
      <c r="P425" s="11">
        <f>IFERROR((J425-H425)/H425,0)</f>
        <v>7.9085191487079936</v>
      </c>
    </row>
    <row r="426" spans="1:16">
      <c r="A426">
        <v>1121973</v>
      </c>
      <c r="B426" t="s">
        <v>162</v>
      </c>
      <c r="C426" t="s">
        <v>2</v>
      </c>
      <c r="D426" t="s">
        <v>5</v>
      </c>
      <c r="E426" s="14">
        <v>29</v>
      </c>
      <c r="F426" s="14">
        <v>148616</v>
      </c>
      <c r="G426" s="14">
        <v>25</v>
      </c>
      <c r="H426" s="13">
        <v>37.399999620000003</v>
      </c>
      <c r="I426" s="14">
        <v>7</v>
      </c>
      <c r="J426" s="11">
        <f>I426*85</f>
        <v>595</v>
      </c>
      <c r="K426" s="11">
        <f>J426-H426</f>
        <v>557.60000037999998</v>
      </c>
      <c r="L426" s="10">
        <f>G426/F426</f>
        <v>1.6821876513968887E-4</v>
      </c>
      <c r="M426" s="14">
        <f>IFERROR(ROUND(I426/G426,2),0)</f>
        <v>0.28000000000000003</v>
      </c>
      <c r="N426" s="11">
        <f>IFERROR(H426/G426,0)</f>
        <v>1.4959999848000001</v>
      </c>
      <c r="O426" s="11">
        <f>IFERROR(H426/I426,0)</f>
        <v>5.3428570885714288</v>
      </c>
      <c r="P426" s="11">
        <f>IFERROR((J426-H426)/H426,0)</f>
        <v>14.909091070734078</v>
      </c>
    </row>
    <row r="427" spans="1:16">
      <c r="A427">
        <v>1122011</v>
      </c>
      <c r="B427" t="s">
        <v>162</v>
      </c>
      <c r="C427" t="s">
        <v>2</v>
      </c>
      <c r="D427" t="s">
        <v>5</v>
      </c>
      <c r="E427" s="14">
        <v>64</v>
      </c>
      <c r="F427" s="14">
        <v>158298</v>
      </c>
      <c r="G427" s="14">
        <v>37</v>
      </c>
      <c r="H427" s="13">
        <v>46.430000069999998</v>
      </c>
      <c r="I427" s="14">
        <v>7</v>
      </c>
      <c r="J427" s="11">
        <f>I427*85</f>
        <v>595</v>
      </c>
      <c r="K427" s="11">
        <f>J427-H427</f>
        <v>548.56999992999999</v>
      </c>
      <c r="L427" s="10">
        <f>G427/F427</f>
        <v>2.3373637064271185E-4</v>
      </c>
      <c r="M427" s="14">
        <f>IFERROR(ROUND(I427/G427,2),0)</f>
        <v>0.19</v>
      </c>
      <c r="N427" s="11">
        <f>IFERROR(H427/G427,0)</f>
        <v>1.2548648667567568</v>
      </c>
      <c r="O427" s="11">
        <f>IFERROR(H427/I427,0)</f>
        <v>6.6328571528571425</v>
      </c>
      <c r="P427" s="11">
        <f>IFERROR((J427-H427)/H427,0)</f>
        <v>11.814990288670057</v>
      </c>
    </row>
    <row r="428" spans="1:16">
      <c r="A428">
        <v>1122127</v>
      </c>
      <c r="B428" t="s">
        <v>162</v>
      </c>
      <c r="C428" t="s">
        <v>3</v>
      </c>
      <c r="D428" t="s">
        <v>5</v>
      </c>
      <c r="E428" s="14">
        <v>29</v>
      </c>
      <c r="F428" s="14">
        <v>822023</v>
      </c>
      <c r="G428" s="14">
        <v>194</v>
      </c>
      <c r="H428" s="13">
        <v>288.33000349999998</v>
      </c>
      <c r="I428" s="14">
        <v>7</v>
      </c>
      <c r="J428" s="11">
        <f>I428*85</f>
        <v>595</v>
      </c>
      <c r="K428" s="11">
        <f>J428-H428</f>
        <v>306.66999650000002</v>
      </c>
      <c r="L428" s="10">
        <f>G428/F428</f>
        <v>2.3600312886622394E-4</v>
      </c>
      <c r="M428" s="14">
        <f>IFERROR(ROUND(I428/G428,2),0)</f>
        <v>0.04</v>
      </c>
      <c r="N428" s="11">
        <f>IFERROR(H428/G428,0)</f>
        <v>1.4862371314432989</v>
      </c>
      <c r="O428" s="11">
        <f>IFERROR(H428/I428,0)</f>
        <v>41.190000499999996</v>
      </c>
      <c r="P428" s="11">
        <f>IFERROR((J428-H428)/H428,0)</f>
        <v>1.0636076467151294</v>
      </c>
    </row>
    <row r="429" spans="1:16">
      <c r="A429">
        <v>1122192</v>
      </c>
      <c r="B429" t="s">
        <v>162</v>
      </c>
      <c r="C429" t="s">
        <v>4</v>
      </c>
      <c r="D429" t="s">
        <v>5</v>
      </c>
      <c r="E429" s="14">
        <v>10</v>
      </c>
      <c r="F429" s="14">
        <v>548250</v>
      </c>
      <c r="G429" s="14">
        <v>137</v>
      </c>
      <c r="H429" s="13">
        <v>201.6000042</v>
      </c>
      <c r="I429" s="14">
        <v>7</v>
      </c>
      <c r="J429" s="11">
        <f>I429*85</f>
        <v>595</v>
      </c>
      <c r="K429" s="11">
        <f>J429-H429</f>
        <v>393.3999958</v>
      </c>
      <c r="L429" s="10">
        <f>G429/F429</f>
        <v>2.498860009119927E-4</v>
      </c>
      <c r="M429" s="14">
        <f>IFERROR(ROUND(I429/G429,2),0)</f>
        <v>0.05</v>
      </c>
      <c r="N429" s="11">
        <f>IFERROR(H429/G429,0)</f>
        <v>1.4715328773722627</v>
      </c>
      <c r="O429" s="11">
        <f>IFERROR(H429/I429,0)</f>
        <v>28.800000600000001</v>
      </c>
      <c r="P429" s="11">
        <f>IFERROR((J429-H429)/H429,0)</f>
        <v>1.9513888274016216</v>
      </c>
    </row>
    <row r="430" spans="1:16">
      <c r="A430">
        <v>1122213</v>
      </c>
      <c r="B430" t="s">
        <v>162</v>
      </c>
      <c r="C430" t="s">
        <v>4</v>
      </c>
      <c r="D430" t="s">
        <v>5</v>
      </c>
      <c r="E430" s="14">
        <v>19</v>
      </c>
      <c r="F430" s="14">
        <v>32781</v>
      </c>
      <c r="G430" s="14">
        <v>7</v>
      </c>
      <c r="H430" s="13">
        <v>11.200000169999999</v>
      </c>
      <c r="I430" s="14">
        <v>7</v>
      </c>
      <c r="J430" s="11">
        <f>I430*85</f>
        <v>595</v>
      </c>
      <c r="K430" s="11">
        <f>J430-H430</f>
        <v>583.79999983000005</v>
      </c>
      <c r="L430" s="10">
        <f>G430/F430</f>
        <v>2.1353833013025838E-4</v>
      </c>
      <c r="M430" s="14">
        <f>IFERROR(ROUND(I430/G430,2),0)</f>
        <v>1</v>
      </c>
      <c r="N430" s="11">
        <f>IFERROR(H430/G430,0)</f>
        <v>1.6000000242857142</v>
      </c>
      <c r="O430" s="11">
        <f>IFERROR(H430/I430,0)</f>
        <v>1.6000000242857142</v>
      </c>
      <c r="P430" s="11">
        <f>IFERROR((J430-H430)/H430,0)</f>
        <v>52.124999193638416</v>
      </c>
    </row>
    <row r="431" spans="1:16">
      <c r="A431">
        <v>1122267</v>
      </c>
      <c r="B431" t="s">
        <v>162</v>
      </c>
      <c r="C431" t="s">
        <v>4</v>
      </c>
      <c r="D431" t="s">
        <v>5</v>
      </c>
      <c r="E431" s="14">
        <v>28</v>
      </c>
      <c r="F431" s="14">
        <v>288517</v>
      </c>
      <c r="G431" s="14">
        <v>78</v>
      </c>
      <c r="H431" s="13">
        <v>102.3900002</v>
      </c>
      <c r="I431" s="14">
        <v>7</v>
      </c>
      <c r="J431" s="11">
        <f>I431*85</f>
        <v>595</v>
      </c>
      <c r="K431" s="11">
        <f>J431-H431</f>
        <v>492.60999979999997</v>
      </c>
      <c r="L431" s="10">
        <f>G431/F431</f>
        <v>2.7034802108714565E-4</v>
      </c>
      <c r="M431" s="14">
        <f>IFERROR(ROUND(I431/G431,2),0)</f>
        <v>0.09</v>
      </c>
      <c r="N431" s="11">
        <f>IFERROR(H431/G431,0)</f>
        <v>1.3126923102564103</v>
      </c>
      <c r="O431" s="11">
        <f>IFERROR(H431/I431,0)</f>
        <v>14.627142885714287</v>
      </c>
      <c r="P431" s="11">
        <f>IFERROR((J431-H431)/H431,0)</f>
        <v>4.8111143552864251</v>
      </c>
    </row>
    <row r="432" spans="1:16">
      <c r="A432">
        <v>1122304</v>
      </c>
      <c r="B432" t="s">
        <v>162</v>
      </c>
      <c r="C432" t="s">
        <v>4</v>
      </c>
      <c r="D432" t="s">
        <v>5</v>
      </c>
      <c r="E432" s="14">
        <v>63</v>
      </c>
      <c r="F432" s="14">
        <v>1111156</v>
      </c>
      <c r="G432" s="14">
        <v>282</v>
      </c>
      <c r="H432" s="13">
        <v>402.30000260000003</v>
      </c>
      <c r="I432" s="14">
        <v>7</v>
      </c>
      <c r="J432" s="11">
        <f>I432*85</f>
        <v>595</v>
      </c>
      <c r="K432" s="11">
        <f>J432-H432</f>
        <v>192.69999739999997</v>
      </c>
      <c r="L432" s="10">
        <f>G432/F432</f>
        <v>2.5378974689422548E-4</v>
      </c>
      <c r="M432" s="14">
        <f>IFERROR(ROUND(I432/G432,2),0)</f>
        <v>0.02</v>
      </c>
      <c r="N432" s="11">
        <f>IFERROR(H432/G432,0)</f>
        <v>1.4265957539007093</v>
      </c>
      <c r="O432" s="11">
        <f>IFERROR(H432/I432,0)</f>
        <v>57.471428942857145</v>
      </c>
      <c r="P432" s="11">
        <f>IFERROR((J432-H432)/H432,0)</f>
        <v>0.47899576473927657</v>
      </c>
    </row>
    <row r="433" spans="1:16">
      <c r="A433">
        <v>1314358</v>
      </c>
      <c r="B433" t="s">
        <v>162</v>
      </c>
      <c r="C433" t="s">
        <v>0</v>
      </c>
      <c r="D433" t="s">
        <v>5</v>
      </c>
      <c r="E433" s="14">
        <v>102</v>
      </c>
      <c r="F433" s="14">
        <v>104496</v>
      </c>
      <c r="G433" s="14">
        <v>9</v>
      </c>
      <c r="H433" s="13">
        <v>11.42999983</v>
      </c>
      <c r="I433" s="14">
        <v>7</v>
      </c>
      <c r="J433" s="11">
        <f>I433*85</f>
        <v>595</v>
      </c>
      <c r="K433" s="11">
        <f>J433-H433</f>
        <v>583.57000016999996</v>
      </c>
      <c r="L433" s="10">
        <f>G433/F433</f>
        <v>8.6127698667891591E-5</v>
      </c>
      <c r="M433" s="14">
        <f>IFERROR(ROUND(I433/G433,2),0)</f>
        <v>0.78</v>
      </c>
      <c r="N433" s="11">
        <f>IFERROR(H433/G433,0)</f>
        <v>1.2699999811111111</v>
      </c>
      <c r="O433" s="11">
        <f>IFERROR(H433/I433,0)</f>
        <v>1.6328571185714285</v>
      </c>
      <c r="P433" s="11">
        <f>IFERROR((J433-H433)/H433,0)</f>
        <v>51.055993775111013</v>
      </c>
    </row>
    <row r="434" spans="1:16">
      <c r="A434">
        <v>1314359</v>
      </c>
      <c r="B434" t="s">
        <v>162</v>
      </c>
      <c r="C434" t="s">
        <v>0</v>
      </c>
      <c r="D434" t="s">
        <v>5</v>
      </c>
      <c r="E434" s="14">
        <v>103</v>
      </c>
      <c r="F434" s="14">
        <v>452519</v>
      </c>
      <c r="G434" s="14">
        <v>68</v>
      </c>
      <c r="H434" s="13">
        <v>99.52000237</v>
      </c>
      <c r="I434" s="14">
        <v>7</v>
      </c>
      <c r="J434" s="11">
        <f>I434*85</f>
        <v>595</v>
      </c>
      <c r="K434" s="11">
        <f>J434-H434</f>
        <v>495.47999763000001</v>
      </c>
      <c r="L434" s="10">
        <f>G434/F434</f>
        <v>1.5026993341716037E-4</v>
      </c>
      <c r="M434" s="14">
        <f>IFERROR(ROUND(I434/G434,2),0)</f>
        <v>0.1</v>
      </c>
      <c r="N434" s="11">
        <f>IFERROR(H434/G434,0)</f>
        <v>1.4635294466176472</v>
      </c>
      <c r="O434" s="11">
        <f>IFERROR(H434/I434,0)</f>
        <v>14.217143195714286</v>
      </c>
      <c r="P434" s="11">
        <f>IFERROR((J434-H434)/H434,0)</f>
        <v>4.9786976068175912</v>
      </c>
    </row>
    <row r="435" spans="1:16">
      <c r="A435">
        <v>1314390</v>
      </c>
      <c r="B435" t="s">
        <v>162</v>
      </c>
      <c r="C435" t="s">
        <v>3</v>
      </c>
      <c r="D435" t="s">
        <v>5</v>
      </c>
      <c r="E435" s="14">
        <v>104</v>
      </c>
      <c r="F435" s="14">
        <v>267316</v>
      </c>
      <c r="G435" s="14">
        <v>58</v>
      </c>
      <c r="H435" s="13">
        <v>82.929998870000006</v>
      </c>
      <c r="I435" s="14">
        <v>7</v>
      </c>
      <c r="J435" s="11">
        <f>I435*85</f>
        <v>595</v>
      </c>
      <c r="K435" s="11">
        <f>J435-H435</f>
        <v>512.07000113000004</v>
      </c>
      <c r="L435" s="10">
        <f>G435/F435</f>
        <v>2.1697167397387361E-4</v>
      </c>
      <c r="M435" s="14">
        <f>IFERROR(ROUND(I435/G435,2),0)</f>
        <v>0.12</v>
      </c>
      <c r="N435" s="11">
        <f>IFERROR(H435/G435,0)</f>
        <v>1.429827566724138</v>
      </c>
      <c r="O435" s="11">
        <f>IFERROR(H435/I435,0)</f>
        <v>11.847142695714286</v>
      </c>
      <c r="P435" s="11">
        <f>IFERROR((J435-H435)/H435,0)</f>
        <v>6.1747257700161597</v>
      </c>
    </row>
    <row r="436" spans="1:16">
      <c r="A436">
        <v>1314409</v>
      </c>
      <c r="B436" t="s">
        <v>162</v>
      </c>
      <c r="C436" t="s">
        <v>4</v>
      </c>
      <c r="D436" t="s">
        <v>5</v>
      </c>
      <c r="E436" s="14">
        <v>108</v>
      </c>
      <c r="F436" s="14">
        <v>212508</v>
      </c>
      <c r="G436" s="14">
        <v>33</v>
      </c>
      <c r="H436" s="13">
        <v>47.690000060000003</v>
      </c>
      <c r="I436" s="14">
        <v>7</v>
      </c>
      <c r="J436" s="11">
        <f>I436*85</f>
        <v>595</v>
      </c>
      <c r="K436" s="11">
        <f>J436-H436</f>
        <v>547.30999994000001</v>
      </c>
      <c r="L436" s="10">
        <f>G436/F436</f>
        <v>1.5528827150036704E-4</v>
      </c>
      <c r="M436" s="14">
        <f>IFERROR(ROUND(I436/G436,2),0)</f>
        <v>0.21</v>
      </c>
      <c r="N436" s="11">
        <f>IFERROR(H436/G436,0)</f>
        <v>1.4451515169696971</v>
      </c>
      <c r="O436" s="11">
        <f>IFERROR(H436/I436,0)</f>
        <v>6.8128571514285721</v>
      </c>
      <c r="P436" s="11">
        <f>IFERROR((J436-H436)/H436,0)</f>
        <v>11.476410133181282</v>
      </c>
    </row>
    <row r="437" spans="1:16">
      <c r="A437">
        <v>734854</v>
      </c>
      <c r="B437" t="s">
        <v>161</v>
      </c>
      <c r="C437" t="s">
        <v>0</v>
      </c>
      <c r="D437" t="s">
        <v>5</v>
      </c>
      <c r="E437" s="14">
        <v>27</v>
      </c>
      <c r="F437" s="14">
        <v>57022</v>
      </c>
      <c r="G437" s="14">
        <v>13</v>
      </c>
      <c r="H437" s="13">
        <v>20.290000320000001</v>
      </c>
      <c r="I437" s="14">
        <v>6</v>
      </c>
      <c r="J437" s="11">
        <f>I437*85</f>
        <v>510</v>
      </c>
      <c r="K437" s="11">
        <f>J437-H437</f>
        <v>489.70999968000001</v>
      </c>
      <c r="L437" s="10">
        <f>G437/F437</f>
        <v>2.2798218231559749E-4</v>
      </c>
      <c r="M437" s="14">
        <f>IFERROR(ROUND(I437/G437,2),0)</f>
        <v>0.46</v>
      </c>
      <c r="N437" s="11">
        <f>IFERROR(H437/G437,0)</f>
        <v>1.5607692553846155</v>
      </c>
      <c r="O437" s="11">
        <f>IFERROR(H437/I437,0)</f>
        <v>3.3816667200000001</v>
      </c>
      <c r="P437" s="11">
        <f>IFERROR((J437-H437)/H437,0)</f>
        <v>24.135534349759929</v>
      </c>
    </row>
    <row r="438" spans="1:16">
      <c r="A438">
        <v>734939</v>
      </c>
      <c r="B438" t="s">
        <v>161</v>
      </c>
      <c r="C438" t="s">
        <v>2</v>
      </c>
      <c r="D438" t="s">
        <v>5</v>
      </c>
      <c r="E438" s="14">
        <v>16</v>
      </c>
      <c r="F438" s="14">
        <v>104648</v>
      </c>
      <c r="G438" s="14">
        <v>24</v>
      </c>
      <c r="H438" s="13">
        <v>33.330000040000002</v>
      </c>
      <c r="I438" s="14">
        <v>6</v>
      </c>
      <c r="J438" s="11">
        <f>I438*85</f>
        <v>510</v>
      </c>
      <c r="K438" s="11">
        <f>J438-H438</f>
        <v>476.66999995999998</v>
      </c>
      <c r="L438" s="10">
        <f>G438/F438</f>
        <v>2.2934026450577172E-4</v>
      </c>
      <c r="M438" s="14">
        <f>IFERROR(ROUND(I438/G438,2),0)</f>
        <v>0.25</v>
      </c>
      <c r="N438" s="11">
        <f>IFERROR(H438/G438,0)</f>
        <v>1.3887500016666667</v>
      </c>
      <c r="O438" s="11">
        <f>IFERROR(H438/I438,0)</f>
        <v>5.5550000066666669</v>
      </c>
      <c r="P438" s="11">
        <f>IFERROR((J438-H438)/H438,0)</f>
        <v>14.301530134651628</v>
      </c>
    </row>
    <row r="439" spans="1:16">
      <c r="A439">
        <v>738648</v>
      </c>
      <c r="B439" t="s">
        <v>161</v>
      </c>
      <c r="C439" t="s">
        <v>4</v>
      </c>
      <c r="D439" t="s">
        <v>5</v>
      </c>
      <c r="E439" s="14">
        <v>26</v>
      </c>
      <c r="F439" s="14">
        <v>111090</v>
      </c>
      <c r="G439" s="14">
        <v>38</v>
      </c>
      <c r="H439" s="13">
        <v>51.97000027</v>
      </c>
      <c r="I439" s="14">
        <v>6</v>
      </c>
      <c r="J439" s="11">
        <f>I439*85</f>
        <v>510</v>
      </c>
      <c r="K439" s="11">
        <f>J439-H439</f>
        <v>458.02999972999999</v>
      </c>
      <c r="L439" s="10">
        <f>G439/F439</f>
        <v>3.4206499234854621E-4</v>
      </c>
      <c r="M439" s="14">
        <f>IFERROR(ROUND(I439/G439,2),0)</f>
        <v>0.16</v>
      </c>
      <c r="N439" s="11">
        <f>IFERROR(H439/G439,0)</f>
        <v>1.3676315860526316</v>
      </c>
      <c r="O439" s="11">
        <f>IFERROR(H439/I439,0)</f>
        <v>8.6616667116666672</v>
      </c>
      <c r="P439" s="11">
        <f>IFERROR((J439-H439)/H439,0)</f>
        <v>8.8133538070116302</v>
      </c>
    </row>
    <row r="440" spans="1:16">
      <c r="A440">
        <v>1121756</v>
      </c>
      <c r="B440" t="s">
        <v>162</v>
      </c>
      <c r="C440" t="s">
        <v>0</v>
      </c>
      <c r="D440" t="s">
        <v>5</v>
      </c>
      <c r="E440" s="14">
        <v>16</v>
      </c>
      <c r="F440" s="14">
        <v>705712</v>
      </c>
      <c r="G440" s="14">
        <v>98</v>
      </c>
      <c r="H440" s="13">
        <v>147.33999900000001</v>
      </c>
      <c r="I440" s="14">
        <v>6</v>
      </c>
      <c r="J440" s="11">
        <f>I440*85</f>
        <v>510</v>
      </c>
      <c r="K440" s="11">
        <f>J440-H440</f>
        <v>362.66000099999997</v>
      </c>
      <c r="L440" s="10">
        <f>G440/F440</f>
        <v>1.3886684653229646E-4</v>
      </c>
      <c r="M440" s="14">
        <f>IFERROR(ROUND(I440/G440,2),0)</f>
        <v>0.06</v>
      </c>
      <c r="N440" s="11">
        <f>IFERROR(H440/G440,0)</f>
        <v>1.5034693775510204</v>
      </c>
      <c r="O440" s="11">
        <f>IFERROR(H440/I440,0)</f>
        <v>24.556666500000002</v>
      </c>
      <c r="P440" s="11">
        <f>IFERROR((J440-H440)/H440,0)</f>
        <v>2.4613818614183645</v>
      </c>
    </row>
    <row r="441" spans="1:16">
      <c r="A441">
        <v>1121758</v>
      </c>
      <c r="B441" t="s">
        <v>162</v>
      </c>
      <c r="C441" t="s">
        <v>0</v>
      </c>
      <c r="D441" t="s">
        <v>5</v>
      </c>
      <c r="E441" s="14">
        <v>18</v>
      </c>
      <c r="F441" s="14">
        <v>690373</v>
      </c>
      <c r="G441" s="14">
        <v>91</v>
      </c>
      <c r="H441" s="13">
        <v>159.57000210000001</v>
      </c>
      <c r="I441" s="14">
        <v>6</v>
      </c>
      <c r="J441" s="11">
        <f>I441*85</f>
        <v>510</v>
      </c>
      <c r="K441" s="11">
        <f>J441-H441</f>
        <v>350.42999789999999</v>
      </c>
      <c r="L441" s="10">
        <f>G441/F441</f>
        <v>1.3181280264436761E-4</v>
      </c>
      <c r="M441" s="14">
        <f>IFERROR(ROUND(I441/G441,2),0)</f>
        <v>7.0000000000000007E-2</v>
      </c>
      <c r="N441" s="11">
        <f>IFERROR(H441/G441,0)</f>
        <v>1.7535165065934066</v>
      </c>
      <c r="O441" s="11">
        <f>IFERROR(H441/I441,0)</f>
        <v>26.595000350000003</v>
      </c>
      <c r="P441" s="11">
        <f>IFERROR((J441-H441)/H441,0)</f>
        <v>2.196089448444019</v>
      </c>
    </row>
    <row r="442" spans="1:16">
      <c r="A442">
        <v>1121775</v>
      </c>
      <c r="B442" t="s">
        <v>162</v>
      </c>
      <c r="C442" t="s">
        <v>0</v>
      </c>
      <c r="D442" t="s">
        <v>5</v>
      </c>
      <c r="E442" s="14">
        <v>21</v>
      </c>
      <c r="F442" s="14">
        <v>159123</v>
      </c>
      <c r="G442" s="14">
        <v>25</v>
      </c>
      <c r="H442" s="13">
        <v>38.360000130000003</v>
      </c>
      <c r="I442" s="14">
        <v>6</v>
      </c>
      <c r="J442" s="11">
        <f>I442*85</f>
        <v>510</v>
      </c>
      <c r="K442" s="11">
        <f>J442-H442</f>
        <v>471.63999987</v>
      </c>
      <c r="L442" s="10">
        <f>G442/F442</f>
        <v>1.5711116557631517E-4</v>
      </c>
      <c r="M442" s="14">
        <f>IFERROR(ROUND(I442/G442,2),0)</f>
        <v>0.24</v>
      </c>
      <c r="N442" s="11">
        <f>IFERROR(H442/G442,0)</f>
        <v>1.5344000052000002</v>
      </c>
      <c r="O442" s="11">
        <f>IFERROR(H442/I442,0)</f>
        <v>6.3933333550000002</v>
      </c>
      <c r="P442" s="11">
        <f>IFERROR((J442-H442)/H442,0)</f>
        <v>12.295099016466034</v>
      </c>
    </row>
    <row r="443" spans="1:16">
      <c r="A443">
        <v>1121780</v>
      </c>
      <c r="B443" t="s">
        <v>162</v>
      </c>
      <c r="C443" t="s">
        <v>0</v>
      </c>
      <c r="D443" t="s">
        <v>5</v>
      </c>
      <c r="E443" s="14">
        <v>21</v>
      </c>
      <c r="F443" s="14">
        <v>119772</v>
      </c>
      <c r="G443" s="14">
        <v>20</v>
      </c>
      <c r="H443" s="13">
        <v>33.46999907</v>
      </c>
      <c r="I443" s="14">
        <v>6</v>
      </c>
      <c r="J443" s="11">
        <f>I443*85</f>
        <v>510</v>
      </c>
      <c r="K443" s="11">
        <f>J443-H443</f>
        <v>476.53000093000003</v>
      </c>
      <c r="L443" s="10">
        <f>G443/F443</f>
        <v>1.6698393614534283E-4</v>
      </c>
      <c r="M443" s="14">
        <f>IFERROR(ROUND(I443/G443,2),0)</f>
        <v>0.3</v>
      </c>
      <c r="N443" s="11">
        <f>IFERROR(H443/G443,0)</f>
        <v>1.6734999534999999</v>
      </c>
      <c r="O443" s="11">
        <f>IFERROR(H443/I443,0)</f>
        <v>5.5783331783333336</v>
      </c>
      <c r="P443" s="11">
        <f>IFERROR((J443-H443)/H443,0)</f>
        <v>14.237526566205549</v>
      </c>
    </row>
    <row r="444" spans="1:16">
      <c r="A444">
        <v>1121796</v>
      </c>
      <c r="B444" t="s">
        <v>162</v>
      </c>
      <c r="C444" t="s">
        <v>0</v>
      </c>
      <c r="D444" t="s">
        <v>5</v>
      </c>
      <c r="E444" s="14">
        <v>24</v>
      </c>
      <c r="F444" s="14">
        <v>136967</v>
      </c>
      <c r="G444" s="14">
        <v>23</v>
      </c>
      <c r="H444" s="13">
        <v>35.059999820000002</v>
      </c>
      <c r="I444" s="14">
        <v>6</v>
      </c>
      <c r="J444" s="11">
        <f>I444*85</f>
        <v>510</v>
      </c>
      <c r="K444" s="11">
        <f>J444-H444</f>
        <v>474.94000017999997</v>
      </c>
      <c r="L444" s="10">
        <f>G444/F444</f>
        <v>1.6792366044375651E-4</v>
      </c>
      <c r="M444" s="14">
        <f>IFERROR(ROUND(I444/G444,2),0)</f>
        <v>0.26</v>
      </c>
      <c r="N444" s="11">
        <f>IFERROR(H444/G444,0)</f>
        <v>1.5243478182608696</v>
      </c>
      <c r="O444" s="11">
        <f>IFERROR(H444/I444,0)</f>
        <v>5.8433333033333339</v>
      </c>
      <c r="P444" s="11">
        <f>IFERROR((J444-H444)/H444,0)</f>
        <v>13.546491803147989</v>
      </c>
    </row>
    <row r="445" spans="1:16">
      <c r="A445">
        <v>1121826</v>
      </c>
      <c r="B445" t="s">
        <v>162</v>
      </c>
      <c r="C445" t="s">
        <v>0</v>
      </c>
      <c r="D445" t="s">
        <v>5</v>
      </c>
      <c r="E445" s="14">
        <v>29</v>
      </c>
      <c r="F445" s="14">
        <v>418016</v>
      </c>
      <c r="G445" s="14">
        <v>63</v>
      </c>
      <c r="H445" s="13">
        <v>95.850000499999993</v>
      </c>
      <c r="I445" s="14">
        <v>6</v>
      </c>
      <c r="J445" s="11">
        <f>I445*85</f>
        <v>510</v>
      </c>
      <c r="K445" s="11">
        <f>J445-H445</f>
        <v>414.14999950000004</v>
      </c>
      <c r="L445" s="10">
        <f>G445/F445</f>
        <v>1.5071193447140779E-4</v>
      </c>
      <c r="M445" s="14">
        <f>IFERROR(ROUND(I445/G445,2),0)</f>
        <v>0.1</v>
      </c>
      <c r="N445" s="11">
        <f>IFERROR(H445/G445,0)</f>
        <v>1.5214285793650792</v>
      </c>
      <c r="O445" s="11">
        <f>IFERROR(H445/I445,0)</f>
        <v>15.975000083333333</v>
      </c>
      <c r="P445" s="11">
        <f>IFERROR((J445-H445)/H445,0)</f>
        <v>4.3208137437620575</v>
      </c>
    </row>
    <row r="446" spans="1:16">
      <c r="A446">
        <v>1121895</v>
      </c>
      <c r="B446" t="s">
        <v>162</v>
      </c>
      <c r="C446" t="s">
        <v>2</v>
      </c>
      <c r="D446" t="s">
        <v>5</v>
      </c>
      <c r="E446" s="14">
        <v>15</v>
      </c>
      <c r="F446" s="14">
        <v>132803</v>
      </c>
      <c r="G446" s="14">
        <v>25</v>
      </c>
      <c r="H446" s="13">
        <v>37.320001240000003</v>
      </c>
      <c r="I446" s="14">
        <v>6</v>
      </c>
      <c r="J446" s="11">
        <f>I446*85</f>
        <v>510</v>
      </c>
      <c r="K446" s="11">
        <f>J446-H446</f>
        <v>472.67999875999999</v>
      </c>
      <c r="L446" s="10">
        <f>G446/F446</f>
        <v>1.8824875944067529E-4</v>
      </c>
      <c r="M446" s="14">
        <f>IFERROR(ROUND(I446/G446,2),0)</f>
        <v>0.24</v>
      </c>
      <c r="N446" s="11">
        <f>IFERROR(H446/G446,0)</f>
        <v>1.4928000496000002</v>
      </c>
      <c r="O446" s="11">
        <f>IFERROR(H446/I446,0)</f>
        <v>6.2200002066666675</v>
      </c>
      <c r="P446" s="11">
        <f>IFERROR((J446-H446)/H446,0)</f>
        <v>12.665594401250345</v>
      </c>
    </row>
    <row r="447" spans="1:16">
      <c r="A447">
        <v>1122004</v>
      </c>
      <c r="B447" t="s">
        <v>162</v>
      </c>
      <c r="C447" t="s">
        <v>2</v>
      </c>
      <c r="D447" t="s">
        <v>5</v>
      </c>
      <c r="E447" s="14">
        <v>63</v>
      </c>
      <c r="F447" s="14">
        <v>579150</v>
      </c>
      <c r="G447" s="14">
        <v>125</v>
      </c>
      <c r="H447" s="13">
        <v>167.0499997</v>
      </c>
      <c r="I447" s="14">
        <v>6</v>
      </c>
      <c r="J447" s="11">
        <f>I447*85</f>
        <v>510</v>
      </c>
      <c r="K447" s="11">
        <f>J447-H447</f>
        <v>342.9500003</v>
      </c>
      <c r="L447" s="10">
        <f>G447/F447</f>
        <v>2.1583354916688251E-4</v>
      </c>
      <c r="M447" s="14">
        <f>IFERROR(ROUND(I447/G447,2),0)</f>
        <v>0.05</v>
      </c>
      <c r="N447" s="11">
        <f>IFERROR(H447/G447,0)</f>
        <v>1.3363999976000001</v>
      </c>
      <c r="O447" s="11">
        <f>IFERROR(H447/I447,0)</f>
        <v>27.841666616666668</v>
      </c>
      <c r="P447" s="11">
        <f>IFERROR((J447-H447)/H447,0)</f>
        <v>2.0529781557371654</v>
      </c>
    </row>
    <row r="448" spans="1:16">
      <c r="A448">
        <v>1122012</v>
      </c>
      <c r="B448" t="s">
        <v>162</v>
      </c>
      <c r="C448" t="s">
        <v>2</v>
      </c>
      <c r="D448" t="s">
        <v>5</v>
      </c>
      <c r="E448" s="14">
        <v>64</v>
      </c>
      <c r="F448" s="14">
        <v>222739</v>
      </c>
      <c r="G448" s="14">
        <v>55</v>
      </c>
      <c r="H448" s="13">
        <v>68.559999590000004</v>
      </c>
      <c r="I448" s="14">
        <v>6</v>
      </c>
      <c r="J448" s="11">
        <f>I448*85</f>
        <v>510</v>
      </c>
      <c r="K448" s="11">
        <f>J448-H448</f>
        <v>441.44000040999998</v>
      </c>
      <c r="L448" s="10">
        <f>G448/F448</f>
        <v>2.4692577411230182E-4</v>
      </c>
      <c r="M448" s="14">
        <f>IFERROR(ROUND(I448/G448,2),0)</f>
        <v>0.11</v>
      </c>
      <c r="N448" s="11">
        <f>IFERROR(H448/G448,0)</f>
        <v>1.2465454470909092</v>
      </c>
      <c r="O448" s="11">
        <f>IFERROR(H448/I448,0)</f>
        <v>11.426666598333334</v>
      </c>
      <c r="P448" s="11">
        <f>IFERROR((J448-H448)/H448,0)</f>
        <v>6.4387398344498727</v>
      </c>
    </row>
    <row r="449" spans="1:16">
      <c r="A449">
        <v>1122125</v>
      </c>
      <c r="B449" t="s">
        <v>162</v>
      </c>
      <c r="C449" t="s">
        <v>3</v>
      </c>
      <c r="D449" t="s">
        <v>5</v>
      </c>
      <c r="E449" s="14">
        <v>29</v>
      </c>
      <c r="F449" s="14">
        <v>489573</v>
      </c>
      <c r="G449" s="14">
        <v>113</v>
      </c>
      <c r="H449" s="13">
        <v>156.11999929999999</v>
      </c>
      <c r="I449" s="14">
        <v>6</v>
      </c>
      <c r="J449" s="11">
        <f>I449*85</f>
        <v>510</v>
      </c>
      <c r="K449" s="11">
        <f>J449-H449</f>
        <v>353.88000069999998</v>
      </c>
      <c r="L449" s="10">
        <f>G449/F449</f>
        <v>2.3081338227394076E-4</v>
      </c>
      <c r="M449" s="14">
        <f>IFERROR(ROUND(I449/G449,2),0)</f>
        <v>0.05</v>
      </c>
      <c r="N449" s="11">
        <f>IFERROR(H449/G449,0)</f>
        <v>1.381592914159292</v>
      </c>
      <c r="O449" s="11">
        <f>IFERROR(H449/I449,0)</f>
        <v>26.01999988333333</v>
      </c>
      <c r="P449" s="11">
        <f>IFERROR((J449-H449)/H449,0)</f>
        <v>2.2667179239476209</v>
      </c>
    </row>
    <row r="450" spans="1:16">
      <c r="A450">
        <v>1122189</v>
      </c>
      <c r="B450" t="s">
        <v>162</v>
      </c>
      <c r="C450" t="s">
        <v>4</v>
      </c>
      <c r="D450" t="s">
        <v>5</v>
      </c>
      <c r="E450" s="14">
        <v>10</v>
      </c>
      <c r="F450" s="14">
        <v>725043</v>
      </c>
      <c r="G450" s="14">
        <v>179</v>
      </c>
      <c r="H450" s="13">
        <v>238.40000069999999</v>
      </c>
      <c r="I450" s="14">
        <v>6</v>
      </c>
      <c r="J450" s="11">
        <f>I450*85</f>
        <v>510</v>
      </c>
      <c r="K450" s="11">
        <f>J450-H450</f>
        <v>271.59999930000004</v>
      </c>
      <c r="L450" s="10">
        <f>G450/F450</f>
        <v>2.4688190907297912E-4</v>
      </c>
      <c r="M450" s="14">
        <f>IFERROR(ROUND(I450/G450,2),0)</f>
        <v>0.03</v>
      </c>
      <c r="N450" s="11">
        <f>IFERROR(H450/G450,0)</f>
        <v>1.3318435793296088</v>
      </c>
      <c r="O450" s="11">
        <f>IFERROR(H450/I450,0)</f>
        <v>39.733333449999996</v>
      </c>
      <c r="P450" s="11">
        <f>IFERROR((J450-H450)/H450,0)</f>
        <v>1.1392617386850539</v>
      </c>
    </row>
    <row r="451" spans="1:16">
      <c r="A451">
        <v>1122290</v>
      </c>
      <c r="B451" t="s">
        <v>162</v>
      </c>
      <c r="C451" t="s">
        <v>4</v>
      </c>
      <c r="D451" t="s">
        <v>5</v>
      </c>
      <c r="E451" s="14">
        <v>31</v>
      </c>
      <c r="F451" s="14">
        <v>104347</v>
      </c>
      <c r="G451" s="14">
        <v>28</v>
      </c>
      <c r="H451" s="13">
        <v>38.139999930000002</v>
      </c>
      <c r="I451" s="14">
        <v>6</v>
      </c>
      <c r="J451" s="11">
        <f>I451*85</f>
        <v>510</v>
      </c>
      <c r="K451" s="11">
        <f>J451-H451</f>
        <v>471.86000007000001</v>
      </c>
      <c r="L451" s="10">
        <f>G451/F451</f>
        <v>2.6833545765570643E-4</v>
      </c>
      <c r="M451" s="14">
        <f>IFERROR(ROUND(I451/G451,2),0)</f>
        <v>0.21</v>
      </c>
      <c r="N451" s="11">
        <f>IFERROR(H451/G451,0)</f>
        <v>1.3621428546428571</v>
      </c>
      <c r="O451" s="11">
        <f>IFERROR(H451/I451,0)</f>
        <v>6.3566666550000006</v>
      </c>
      <c r="P451" s="11">
        <f>IFERROR((J451-H451)/H451,0)</f>
        <v>12.371788173466838</v>
      </c>
    </row>
    <row r="452" spans="1:16">
      <c r="A452">
        <v>1314373</v>
      </c>
      <c r="B452" t="s">
        <v>162</v>
      </c>
      <c r="C452" t="s">
        <v>2</v>
      </c>
      <c r="D452" t="s">
        <v>5</v>
      </c>
      <c r="E452" s="14">
        <v>102</v>
      </c>
      <c r="F452" s="14">
        <v>245607</v>
      </c>
      <c r="G452" s="14">
        <v>33</v>
      </c>
      <c r="H452" s="13">
        <v>47.879999519999998</v>
      </c>
      <c r="I452" s="14">
        <v>6</v>
      </c>
      <c r="J452" s="11">
        <f>I452*85</f>
        <v>510</v>
      </c>
      <c r="K452" s="11">
        <f>J452-H452</f>
        <v>462.12000047999999</v>
      </c>
      <c r="L452" s="10">
        <f>G452/F452</f>
        <v>1.3436099133982339E-4</v>
      </c>
      <c r="M452" s="14">
        <f>IFERROR(ROUND(I452/G452,2),0)</f>
        <v>0.18</v>
      </c>
      <c r="N452" s="11">
        <f>IFERROR(H452/G452,0)</f>
        <v>1.4509090763636363</v>
      </c>
      <c r="O452" s="11">
        <f>IFERROR(H452/I452,0)</f>
        <v>7.97999992</v>
      </c>
      <c r="P452" s="11">
        <f>IFERROR((J452-H452)/H452,0)</f>
        <v>9.6516291794649547</v>
      </c>
    </row>
    <row r="453" spans="1:16">
      <c r="A453">
        <v>1314383</v>
      </c>
      <c r="B453" t="s">
        <v>162</v>
      </c>
      <c r="C453" t="s">
        <v>2</v>
      </c>
      <c r="D453" t="s">
        <v>5</v>
      </c>
      <c r="E453" s="14">
        <v>112</v>
      </c>
      <c r="F453" s="14">
        <v>81569</v>
      </c>
      <c r="G453" s="14">
        <v>6</v>
      </c>
      <c r="H453" s="13">
        <v>9.4099999669999992</v>
      </c>
      <c r="I453" s="14">
        <v>6</v>
      </c>
      <c r="J453" s="11">
        <f>I453*85</f>
        <v>510</v>
      </c>
      <c r="K453" s="11">
        <f>J453-H453</f>
        <v>500.59000003300002</v>
      </c>
      <c r="L453" s="10">
        <f>G453/F453</f>
        <v>7.3557356348612836E-5</v>
      </c>
      <c r="M453" s="14">
        <f>IFERROR(ROUND(I453/G453,2),0)</f>
        <v>1</v>
      </c>
      <c r="N453" s="11">
        <f>IFERROR(H453/G453,0)</f>
        <v>1.5683333278333331</v>
      </c>
      <c r="O453" s="11">
        <f>IFERROR(H453/I453,0)</f>
        <v>1.5683333278333331</v>
      </c>
      <c r="P453" s="11">
        <f>IFERROR((J453-H453)/H453,0)</f>
        <v>53.197662251702752</v>
      </c>
    </row>
    <row r="454" spans="1:16">
      <c r="A454">
        <v>1314384</v>
      </c>
      <c r="B454" t="s">
        <v>162</v>
      </c>
      <c r="C454" t="s">
        <v>2</v>
      </c>
      <c r="D454" t="s">
        <v>5</v>
      </c>
      <c r="E454" s="14">
        <v>113</v>
      </c>
      <c r="F454" s="14">
        <v>441192</v>
      </c>
      <c r="G454" s="14">
        <v>53</v>
      </c>
      <c r="H454" s="13">
        <v>77.599999789999998</v>
      </c>
      <c r="I454" s="14">
        <v>6</v>
      </c>
      <c r="J454" s="11">
        <f>I454*85</f>
        <v>510</v>
      </c>
      <c r="K454" s="11">
        <f>J454-H454</f>
        <v>432.40000021000003</v>
      </c>
      <c r="L454" s="10">
        <f>G454/F454</f>
        <v>1.2012910478884477E-4</v>
      </c>
      <c r="M454" s="14">
        <f>IFERROR(ROUND(I454/G454,2),0)</f>
        <v>0.11</v>
      </c>
      <c r="N454" s="11">
        <f>IFERROR(H454/G454,0)</f>
        <v>1.4641509394339622</v>
      </c>
      <c r="O454" s="11">
        <f>IFERROR(H454/I454,0)</f>
        <v>12.933333298333332</v>
      </c>
      <c r="P454" s="11">
        <f>IFERROR((J454-H454)/H454,0)</f>
        <v>5.5721649662391064</v>
      </c>
    </row>
    <row r="455" spans="1:16">
      <c r="A455">
        <v>1314389</v>
      </c>
      <c r="B455" t="s">
        <v>162</v>
      </c>
      <c r="C455" t="s">
        <v>3</v>
      </c>
      <c r="D455" t="s">
        <v>5</v>
      </c>
      <c r="E455" s="14">
        <v>103</v>
      </c>
      <c r="F455" s="14">
        <v>1114711</v>
      </c>
      <c r="G455" s="14">
        <v>224</v>
      </c>
      <c r="H455" s="13">
        <v>319.00000189999997</v>
      </c>
      <c r="I455" s="14">
        <v>6</v>
      </c>
      <c r="J455" s="11">
        <f>I455*85</f>
        <v>510</v>
      </c>
      <c r="K455" s="11">
        <f>J455-H455</f>
        <v>190.99999810000003</v>
      </c>
      <c r="L455" s="10">
        <f>G455/F455</f>
        <v>2.0094894551143748E-4</v>
      </c>
      <c r="M455" s="14">
        <f>IFERROR(ROUND(I455/G455,2),0)</f>
        <v>0.03</v>
      </c>
      <c r="N455" s="11">
        <f>IFERROR(H455/G455,0)</f>
        <v>1.4241071513392856</v>
      </c>
      <c r="O455" s="11">
        <f>IFERROR(H455/I455,0)</f>
        <v>53.166666983333329</v>
      </c>
      <c r="P455" s="11">
        <f>IFERROR((J455-H455)/H455,0)</f>
        <v>0.59874607198239027</v>
      </c>
    </row>
    <row r="456" spans="1:16">
      <c r="A456">
        <v>738592</v>
      </c>
      <c r="B456" t="s">
        <v>161</v>
      </c>
      <c r="C456" t="s">
        <v>4</v>
      </c>
      <c r="D456" t="s">
        <v>5</v>
      </c>
      <c r="E456" s="14">
        <v>16</v>
      </c>
      <c r="F456" s="14">
        <v>493821</v>
      </c>
      <c r="G456" s="14">
        <v>116</v>
      </c>
      <c r="H456" s="13">
        <v>176.37999769999999</v>
      </c>
      <c r="I456" s="14">
        <v>5</v>
      </c>
      <c r="J456" s="11">
        <f>I456*85</f>
        <v>425</v>
      </c>
      <c r="K456" s="11">
        <f>J456-H456</f>
        <v>248.62000230000001</v>
      </c>
      <c r="L456" s="10">
        <f>G456/F456</f>
        <v>2.3490293041405691E-4</v>
      </c>
      <c r="M456" s="14">
        <f>IFERROR(ROUND(I456/G456,2),0)</f>
        <v>0.04</v>
      </c>
      <c r="N456" s="11">
        <f>IFERROR(H456/G456,0)</f>
        <v>1.520517221551724</v>
      </c>
      <c r="O456" s="11">
        <f>IFERROR(H456/I456,0)</f>
        <v>35.275999540000001</v>
      </c>
      <c r="P456" s="11">
        <f>IFERROR((J456-H456)/H456,0)</f>
        <v>1.4095702774805061</v>
      </c>
    </row>
    <row r="457" spans="1:16">
      <c r="A457">
        <v>748230</v>
      </c>
      <c r="B457" t="s">
        <v>161</v>
      </c>
      <c r="C457" t="s">
        <v>4</v>
      </c>
      <c r="D457" t="s">
        <v>5</v>
      </c>
      <c r="E457" s="14">
        <v>16</v>
      </c>
      <c r="F457" s="14">
        <v>83929</v>
      </c>
      <c r="G457" s="14">
        <v>21</v>
      </c>
      <c r="H457" s="13">
        <v>27.729999540000001</v>
      </c>
      <c r="I457" s="14">
        <v>5</v>
      </c>
      <c r="J457" s="11">
        <f>I457*85</f>
        <v>425</v>
      </c>
      <c r="K457" s="11">
        <f>J457-H457</f>
        <v>397.27000046000001</v>
      </c>
      <c r="L457" s="10">
        <f>G457/F457</f>
        <v>2.5021148828176194E-4</v>
      </c>
      <c r="M457" s="14">
        <f>IFERROR(ROUND(I457/G457,2),0)</f>
        <v>0.24</v>
      </c>
      <c r="N457" s="11">
        <f>IFERROR(H457/G457,0)</f>
        <v>1.3204761685714286</v>
      </c>
      <c r="O457" s="11">
        <f>IFERROR(H457/I457,0)</f>
        <v>5.5459999080000006</v>
      </c>
      <c r="P457" s="11">
        <f>IFERROR((J457-H457)/H457,0)</f>
        <v>14.326361595749237</v>
      </c>
    </row>
    <row r="458" spans="1:16">
      <c r="A458">
        <v>951046</v>
      </c>
      <c r="B458" t="s">
        <v>161</v>
      </c>
      <c r="C458" t="s">
        <v>0</v>
      </c>
      <c r="D458" t="s">
        <v>5</v>
      </c>
      <c r="E458" s="14">
        <v>16</v>
      </c>
      <c r="F458" s="14">
        <v>20050</v>
      </c>
      <c r="G458" s="14">
        <v>4</v>
      </c>
      <c r="H458" s="13">
        <v>4.6599998469999999</v>
      </c>
      <c r="I458" s="14">
        <v>5</v>
      </c>
      <c r="J458" s="11">
        <f>I458*85</f>
        <v>425</v>
      </c>
      <c r="K458" s="11">
        <f>J458-H458</f>
        <v>420.34000015300001</v>
      </c>
      <c r="L458" s="10">
        <f>G458/F458</f>
        <v>1.9950124688279303E-4</v>
      </c>
      <c r="M458" s="14">
        <f>IFERROR(ROUND(I458/G458,2),0)</f>
        <v>1.25</v>
      </c>
      <c r="N458" s="11">
        <f>IFERROR(H458/G458,0)</f>
        <v>1.16499996175</v>
      </c>
      <c r="O458" s="11">
        <f>IFERROR(H458/I458,0)</f>
        <v>0.93199996939999996</v>
      </c>
      <c r="P458" s="11">
        <f>IFERROR((J458-H458)/H458,0)</f>
        <v>90.201719732588657</v>
      </c>
    </row>
    <row r="459" spans="1:16">
      <c r="A459">
        <v>1121751</v>
      </c>
      <c r="B459" t="s">
        <v>162</v>
      </c>
      <c r="C459" t="s">
        <v>0</v>
      </c>
      <c r="D459" t="s">
        <v>5</v>
      </c>
      <c r="E459" s="14">
        <v>16</v>
      </c>
      <c r="F459" s="14">
        <v>275930</v>
      </c>
      <c r="G459" s="14">
        <v>30</v>
      </c>
      <c r="H459" s="13">
        <v>46.779999969999999</v>
      </c>
      <c r="I459" s="14">
        <v>5</v>
      </c>
      <c r="J459" s="11">
        <f>I459*85</f>
        <v>425</v>
      </c>
      <c r="K459" s="11">
        <f>J459-H459</f>
        <v>378.22000002999999</v>
      </c>
      <c r="L459" s="10">
        <f>G459/F459</f>
        <v>1.0872322690537456E-4</v>
      </c>
      <c r="M459" s="14">
        <f>IFERROR(ROUND(I459/G459,2),0)</f>
        <v>0.17</v>
      </c>
      <c r="N459" s="11">
        <f>IFERROR(H459/G459,0)</f>
        <v>1.5593333323333334</v>
      </c>
      <c r="O459" s="11">
        <f>IFERROR(H459/I459,0)</f>
        <v>9.3559999939999994</v>
      </c>
      <c r="P459" s="11">
        <f>IFERROR((J459-H459)/H459,0)</f>
        <v>8.0850790994560153</v>
      </c>
    </row>
    <row r="460" spans="1:16">
      <c r="A460">
        <v>1121769</v>
      </c>
      <c r="B460" t="s">
        <v>162</v>
      </c>
      <c r="C460" t="s">
        <v>0</v>
      </c>
      <c r="D460" t="s">
        <v>5</v>
      </c>
      <c r="E460" s="14">
        <v>20</v>
      </c>
      <c r="F460" s="14">
        <v>253758</v>
      </c>
      <c r="G460" s="14">
        <v>43</v>
      </c>
      <c r="H460" s="13">
        <v>62.14000034</v>
      </c>
      <c r="I460" s="14">
        <v>5</v>
      </c>
      <c r="J460" s="11">
        <f>I460*85</f>
        <v>425</v>
      </c>
      <c r="K460" s="11">
        <f>J460-H460</f>
        <v>362.85999965999997</v>
      </c>
      <c r="L460" s="10">
        <f>G460/F460</f>
        <v>1.6945278572498207E-4</v>
      </c>
      <c r="M460" s="14">
        <f>IFERROR(ROUND(I460/G460,2),0)</f>
        <v>0.12</v>
      </c>
      <c r="N460" s="11">
        <f>IFERROR(H460/G460,0)</f>
        <v>1.4451162869767442</v>
      </c>
      <c r="O460" s="11">
        <f>IFERROR(H460/I460,0)</f>
        <v>12.428000067999999</v>
      </c>
      <c r="P460" s="11">
        <f>IFERROR((J460-H460)/H460,0)</f>
        <v>5.839394877286864</v>
      </c>
    </row>
    <row r="461" spans="1:16">
      <c r="A461">
        <v>1121783</v>
      </c>
      <c r="B461" t="s">
        <v>162</v>
      </c>
      <c r="C461" t="s">
        <v>0</v>
      </c>
      <c r="D461" t="s">
        <v>5</v>
      </c>
      <c r="E461" s="14">
        <v>22</v>
      </c>
      <c r="F461" s="14">
        <v>594968</v>
      </c>
      <c r="G461" s="14">
        <v>111</v>
      </c>
      <c r="H461" s="13">
        <v>147.67000060000001</v>
      </c>
      <c r="I461" s="14">
        <v>5</v>
      </c>
      <c r="J461" s="11">
        <f>I461*85</f>
        <v>425</v>
      </c>
      <c r="K461" s="11">
        <f>J461-H461</f>
        <v>277.32999940000002</v>
      </c>
      <c r="L461" s="10">
        <f>G461/F461</f>
        <v>1.8656465557811513E-4</v>
      </c>
      <c r="M461" s="14">
        <f>IFERROR(ROUND(I461/G461,2),0)</f>
        <v>0.05</v>
      </c>
      <c r="N461" s="11">
        <f>IFERROR(H461/G461,0)</f>
        <v>1.3303603657657659</v>
      </c>
      <c r="O461" s="11">
        <f>IFERROR(H461/I461,0)</f>
        <v>29.534000120000002</v>
      </c>
      <c r="P461" s="11">
        <f>IFERROR((J461-H461)/H461,0)</f>
        <v>1.8780388587605925</v>
      </c>
    </row>
    <row r="462" spans="1:16">
      <c r="A462">
        <v>1121806</v>
      </c>
      <c r="B462" t="s">
        <v>162</v>
      </c>
      <c r="C462" t="s">
        <v>0</v>
      </c>
      <c r="D462" t="s">
        <v>5</v>
      </c>
      <c r="E462" s="14">
        <v>26</v>
      </c>
      <c r="F462" s="14">
        <v>190560</v>
      </c>
      <c r="G462" s="14">
        <v>26</v>
      </c>
      <c r="H462" s="13">
        <v>41.63</v>
      </c>
      <c r="I462" s="14">
        <v>5</v>
      </c>
      <c r="J462" s="11">
        <f>I462*85</f>
        <v>425</v>
      </c>
      <c r="K462" s="11">
        <f>J462-H462</f>
        <v>383.37</v>
      </c>
      <c r="L462" s="10">
        <f>G462/F462</f>
        <v>1.3643996641477749E-4</v>
      </c>
      <c r="M462" s="14">
        <f>IFERROR(ROUND(I462/G462,2),0)</f>
        <v>0.19</v>
      </c>
      <c r="N462" s="11">
        <f>IFERROR(H462/G462,0)</f>
        <v>1.6011538461538461</v>
      </c>
      <c r="O462" s="11">
        <f>IFERROR(H462/I462,0)</f>
        <v>8.3260000000000005</v>
      </c>
      <c r="P462" s="11">
        <f>IFERROR((J462-H462)/H462,0)</f>
        <v>9.2089839058371368</v>
      </c>
    </row>
    <row r="463" spans="1:16">
      <c r="A463">
        <v>1121807</v>
      </c>
      <c r="B463" t="s">
        <v>162</v>
      </c>
      <c r="C463" t="s">
        <v>0</v>
      </c>
      <c r="D463" t="s">
        <v>5</v>
      </c>
      <c r="E463" s="14">
        <v>26</v>
      </c>
      <c r="F463" s="14">
        <v>373110</v>
      </c>
      <c r="G463" s="14">
        <v>49</v>
      </c>
      <c r="H463" s="13">
        <v>75.700000759999995</v>
      </c>
      <c r="I463" s="14">
        <v>5</v>
      </c>
      <c r="J463" s="11">
        <f>I463*85</f>
        <v>425</v>
      </c>
      <c r="K463" s="11">
        <f>J463-H463</f>
        <v>349.29999924000003</v>
      </c>
      <c r="L463" s="10">
        <f>G463/F463</f>
        <v>1.3132856262228296E-4</v>
      </c>
      <c r="M463" s="14">
        <f>IFERROR(ROUND(I463/G463,2),0)</f>
        <v>0.1</v>
      </c>
      <c r="N463" s="11">
        <f>IFERROR(H463/G463,0)</f>
        <v>1.5448979746938774</v>
      </c>
      <c r="O463" s="11">
        <f>IFERROR(H463/I463,0)</f>
        <v>15.140000151999999</v>
      </c>
      <c r="P463" s="11">
        <f>IFERROR((J463-H463)/H463,0)</f>
        <v>4.6142667864353673</v>
      </c>
    </row>
    <row r="464" spans="1:16">
      <c r="A464">
        <v>1121843</v>
      </c>
      <c r="B464" t="s">
        <v>162</v>
      </c>
      <c r="C464" t="s">
        <v>0</v>
      </c>
      <c r="D464" t="s">
        <v>5</v>
      </c>
      <c r="E464" s="14">
        <v>32</v>
      </c>
      <c r="F464" s="14">
        <v>177452</v>
      </c>
      <c r="G464" s="14">
        <v>24</v>
      </c>
      <c r="H464" s="13">
        <v>37.830000159999997</v>
      </c>
      <c r="I464" s="14">
        <v>5</v>
      </c>
      <c r="J464" s="11">
        <f>I464*85</f>
        <v>425</v>
      </c>
      <c r="K464" s="11">
        <f>J464-H464</f>
        <v>387.16999984</v>
      </c>
      <c r="L464" s="10">
        <f>G464/F464</f>
        <v>1.3524784166986002E-4</v>
      </c>
      <c r="M464" s="14">
        <f>IFERROR(ROUND(I464/G464,2),0)</f>
        <v>0.21</v>
      </c>
      <c r="N464" s="11">
        <f>IFERROR(H464/G464,0)</f>
        <v>1.5762500066666665</v>
      </c>
      <c r="O464" s="11">
        <f>IFERROR(H464/I464,0)</f>
        <v>7.5660000319999998</v>
      </c>
      <c r="P464" s="11">
        <f>IFERROR((J464-H464)/H464,0)</f>
        <v>10.234469949840994</v>
      </c>
    </row>
    <row r="465" spans="1:16">
      <c r="A465">
        <v>1121871</v>
      </c>
      <c r="B465" t="s">
        <v>162</v>
      </c>
      <c r="C465" t="s">
        <v>0</v>
      </c>
      <c r="D465" t="s">
        <v>5</v>
      </c>
      <c r="E465" s="14">
        <v>2</v>
      </c>
      <c r="F465" s="14">
        <v>19178</v>
      </c>
      <c r="G465" s="14">
        <v>2</v>
      </c>
      <c r="H465" s="13">
        <v>2.7799999710000001</v>
      </c>
      <c r="I465" s="14">
        <v>5</v>
      </c>
      <c r="J465" s="11">
        <f>I465*85</f>
        <v>425</v>
      </c>
      <c r="K465" s="11">
        <f>J465-H465</f>
        <v>422.220000029</v>
      </c>
      <c r="L465" s="10">
        <f>G465/F465</f>
        <v>1.0428616122640526E-4</v>
      </c>
      <c r="M465" s="14">
        <f>IFERROR(ROUND(I465/G465,2),0)</f>
        <v>2.5</v>
      </c>
      <c r="N465" s="11">
        <f>IFERROR(H465/G465,0)</f>
        <v>1.3899999855</v>
      </c>
      <c r="O465" s="11">
        <f>IFERROR(H465/I465,0)</f>
        <v>0.55599999420000001</v>
      </c>
      <c r="P465" s="11">
        <f>IFERROR((J465-H465)/H465,0)</f>
        <v>151.877699436494</v>
      </c>
    </row>
    <row r="466" spans="1:16">
      <c r="A466">
        <v>1121877</v>
      </c>
      <c r="B466" t="s">
        <v>162</v>
      </c>
      <c r="C466" t="s">
        <v>0</v>
      </c>
      <c r="D466" t="s">
        <v>5</v>
      </c>
      <c r="E466" s="14">
        <v>7</v>
      </c>
      <c r="F466" s="14">
        <v>44189</v>
      </c>
      <c r="G466" s="14">
        <v>7</v>
      </c>
      <c r="H466" s="13">
        <v>10.319999810000001</v>
      </c>
      <c r="I466" s="14">
        <v>5</v>
      </c>
      <c r="J466" s="11">
        <f>I466*85</f>
        <v>425</v>
      </c>
      <c r="K466" s="11">
        <f>J466-H466</f>
        <v>414.68000018999999</v>
      </c>
      <c r="L466" s="10">
        <f>G466/F466</f>
        <v>1.5841046414265993E-4</v>
      </c>
      <c r="M466" s="14">
        <f>IFERROR(ROUND(I466/G466,2),0)</f>
        <v>0.71</v>
      </c>
      <c r="N466" s="11">
        <f>IFERROR(H466/G466,0)</f>
        <v>1.4742856871428571</v>
      </c>
      <c r="O466" s="11">
        <f>IFERROR(H466/I466,0)</f>
        <v>2.063999962</v>
      </c>
      <c r="P466" s="11">
        <f>IFERROR((J466-H466)/H466,0)</f>
        <v>40.182171300834547</v>
      </c>
    </row>
    <row r="467" spans="1:16">
      <c r="A467">
        <v>1121881</v>
      </c>
      <c r="B467" t="s">
        <v>162</v>
      </c>
      <c r="C467" t="s">
        <v>0</v>
      </c>
      <c r="D467" t="s">
        <v>5</v>
      </c>
      <c r="E467" s="14">
        <v>7</v>
      </c>
      <c r="F467" s="14">
        <v>221843</v>
      </c>
      <c r="G467" s="14">
        <v>43</v>
      </c>
      <c r="H467" s="13">
        <v>63.450000760000002</v>
      </c>
      <c r="I467" s="14">
        <v>5</v>
      </c>
      <c r="J467" s="11">
        <f>I467*85</f>
        <v>425</v>
      </c>
      <c r="K467" s="11">
        <f>J467-H467</f>
        <v>361.54999923999998</v>
      </c>
      <c r="L467" s="10">
        <f>G467/F467</f>
        <v>1.9383077221278111E-4</v>
      </c>
      <c r="M467" s="14">
        <f>IFERROR(ROUND(I467/G467,2),0)</f>
        <v>0.12</v>
      </c>
      <c r="N467" s="11">
        <f>IFERROR(H467/G467,0)</f>
        <v>1.4755814130232559</v>
      </c>
      <c r="O467" s="11">
        <f>IFERROR(H467/I467,0)</f>
        <v>12.690000152</v>
      </c>
      <c r="P467" s="11">
        <f>IFERROR((J467-H467)/H467,0)</f>
        <v>5.6981874690209215</v>
      </c>
    </row>
    <row r="468" spans="1:16">
      <c r="A468">
        <v>1121894</v>
      </c>
      <c r="B468" t="s">
        <v>162</v>
      </c>
      <c r="C468" t="s">
        <v>2</v>
      </c>
      <c r="D468" t="s">
        <v>5</v>
      </c>
      <c r="E468" s="14">
        <v>10</v>
      </c>
      <c r="F468" s="14">
        <v>561415</v>
      </c>
      <c r="G468" s="14">
        <v>124</v>
      </c>
      <c r="H468" s="13">
        <v>173.76</v>
      </c>
      <c r="I468" s="14">
        <v>5</v>
      </c>
      <c r="J468" s="11">
        <f>I468*85</f>
        <v>425</v>
      </c>
      <c r="K468" s="11">
        <f>J468-H468</f>
        <v>251.24</v>
      </c>
      <c r="L468" s="10">
        <f>G468/F468</f>
        <v>2.2087047905738178E-4</v>
      </c>
      <c r="M468" s="14">
        <f>IFERROR(ROUND(I468/G468,2),0)</f>
        <v>0.04</v>
      </c>
      <c r="N468" s="11">
        <f>IFERROR(H468/G468,0)</f>
        <v>1.401290322580645</v>
      </c>
      <c r="O468" s="11">
        <f>IFERROR(H468/I468,0)</f>
        <v>34.751999999999995</v>
      </c>
      <c r="P468" s="11">
        <f>IFERROR((J468-H468)/H468,0)</f>
        <v>1.4459023941068141</v>
      </c>
    </row>
    <row r="469" spans="1:16">
      <c r="A469">
        <v>1121904</v>
      </c>
      <c r="B469" t="s">
        <v>162</v>
      </c>
      <c r="C469" t="s">
        <v>2</v>
      </c>
      <c r="D469" t="s">
        <v>5</v>
      </c>
      <c r="E469" s="14">
        <v>16</v>
      </c>
      <c r="F469" s="14">
        <v>146406</v>
      </c>
      <c r="G469" s="14">
        <v>23</v>
      </c>
      <c r="H469" s="13">
        <v>33.229999419999999</v>
      </c>
      <c r="I469" s="14">
        <v>5</v>
      </c>
      <c r="J469" s="11">
        <f>I469*85</f>
        <v>425</v>
      </c>
      <c r="K469" s="11">
        <f>J469-H469</f>
        <v>391.77000057999999</v>
      </c>
      <c r="L469" s="10">
        <f>G469/F469</f>
        <v>1.5709738671912352E-4</v>
      </c>
      <c r="M469" s="14">
        <f>IFERROR(ROUND(I469/G469,2),0)</f>
        <v>0.22</v>
      </c>
      <c r="N469" s="11">
        <f>IFERROR(H469/G469,0)</f>
        <v>1.4447825834782608</v>
      </c>
      <c r="O469" s="11">
        <f>IFERROR(H469/I469,0)</f>
        <v>6.6459998840000001</v>
      </c>
      <c r="P469" s="11">
        <f>IFERROR((J469-H469)/H469,0)</f>
        <v>11.789648131748297</v>
      </c>
    </row>
    <row r="470" spans="1:16">
      <c r="A470">
        <v>1121948</v>
      </c>
      <c r="B470" t="s">
        <v>162</v>
      </c>
      <c r="C470" t="s">
        <v>2</v>
      </c>
      <c r="D470" t="s">
        <v>5</v>
      </c>
      <c r="E470" s="14">
        <v>24</v>
      </c>
      <c r="F470" s="14">
        <v>118941</v>
      </c>
      <c r="G470" s="14">
        <v>35</v>
      </c>
      <c r="H470" s="13">
        <v>50.11000001</v>
      </c>
      <c r="I470" s="14">
        <v>5</v>
      </c>
      <c r="J470" s="11">
        <f>I470*85</f>
        <v>425</v>
      </c>
      <c r="K470" s="11">
        <f>J470-H470</f>
        <v>374.88999998999998</v>
      </c>
      <c r="L470" s="10">
        <f>G470/F470</f>
        <v>2.9426354242859906E-4</v>
      </c>
      <c r="M470" s="14">
        <f>IFERROR(ROUND(I470/G470,2),0)</f>
        <v>0.14000000000000001</v>
      </c>
      <c r="N470" s="11">
        <f>IFERROR(H470/G470,0)</f>
        <v>1.4317142860000001</v>
      </c>
      <c r="O470" s="11">
        <f>IFERROR(H470/I470,0)</f>
        <v>10.022000002</v>
      </c>
      <c r="P470" s="11">
        <f>IFERROR((J470-H470)/H470,0)</f>
        <v>7.4813410479981357</v>
      </c>
    </row>
    <row r="471" spans="1:16">
      <c r="A471">
        <v>1122007</v>
      </c>
      <c r="B471" t="s">
        <v>162</v>
      </c>
      <c r="C471" t="s">
        <v>2</v>
      </c>
      <c r="D471" t="s">
        <v>5</v>
      </c>
      <c r="E471" s="14">
        <v>63</v>
      </c>
      <c r="F471" s="14">
        <v>196967</v>
      </c>
      <c r="G471" s="14">
        <v>43</v>
      </c>
      <c r="H471" s="13">
        <v>65.179999710000004</v>
      </c>
      <c r="I471" s="14">
        <v>5</v>
      </c>
      <c r="J471" s="11">
        <f>I471*85</f>
        <v>425</v>
      </c>
      <c r="K471" s="11">
        <f>J471-H471</f>
        <v>359.82000029</v>
      </c>
      <c r="L471" s="10">
        <f>G471/F471</f>
        <v>2.1831068148471571E-4</v>
      </c>
      <c r="M471" s="14">
        <f>IFERROR(ROUND(I471/G471,2),0)</f>
        <v>0.12</v>
      </c>
      <c r="N471" s="11">
        <f>IFERROR(H471/G471,0)</f>
        <v>1.5158139467441862</v>
      </c>
      <c r="O471" s="11">
        <f>IFERROR(H471/I471,0)</f>
        <v>13.035999942</v>
      </c>
      <c r="P471" s="11">
        <f>IFERROR((J471-H471)/H471,0)</f>
        <v>5.5204050612291722</v>
      </c>
    </row>
    <row r="472" spans="1:16">
      <c r="A472">
        <v>1122055</v>
      </c>
      <c r="B472" t="s">
        <v>162</v>
      </c>
      <c r="C472" t="s">
        <v>3</v>
      </c>
      <c r="D472" t="s">
        <v>5</v>
      </c>
      <c r="E472" s="14">
        <v>16</v>
      </c>
      <c r="F472" s="14">
        <v>797234</v>
      </c>
      <c r="G472" s="14">
        <v>170</v>
      </c>
      <c r="H472" s="13">
        <v>243.7699978</v>
      </c>
      <c r="I472" s="14">
        <v>5</v>
      </c>
      <c r="J472" s="11">
        <f>I472*85</f>
        <v>425</v>
      </c>
      <c r="K472" s="11">
        <f>J472-H472</f>
        <v>181.2300022</v>
      </c>
      <c r="L472" s="10">
        <f>G472/F472</f>
        <v>2.1323726785360384E-4</v>
      </c>
      <c r="M472" s="14">
        <f>IFERROR(ROUND(I472/G472,2),0)</f>
        <v>0.03</v>
      </c>
      <c r="N472" s="11">
        <f>IFERROR(H472/G472,0)</f>
        <v>1.4339411635294117</v>
      </c>
      <c r="O472" s="11">
        <f>IFERROR(H472/I472,0)</f>
        <v>48.753999559999997</v>
      </c>
      <c r="P472" s="11">
        <f>IFERROR((J472-H472)/H472,0)</f>
        <v>0.74344670728794671</v>
      </c>
    </row>
    <row r="473" spans="1:16">
      <c r="A473">
        <v>1122120</v>
      </c>
      <c r="B473" t="s">
        <v>162</v>
      </c>
      <c r="C473" t="s">
        <v>3</v>
      </c>
      <c r="D473" t="s">
        <v>5</v>
      </c>
      <c r="E473" s="14">
        <v>28</v>
      </c>
      <c r="F473" s="14">
        <v>181053</v>
      </c>
      <c r="G473" s="14">
        <v>46</v>
      </c>
      <c r="H473" s="13">
        <v>66.279999849999996</v>
      </c>
      <c r="I473" s="14">
        <v>5</v>
      </c>
      <c r="J473" s="11">
        <f>I473*85</f>
        <v>425</v>
      </c>
      <c r="K473" s="11">
        <f>J473-H473</f>
        <v>358.72000015000003</v>
      </c>
      <c r="L473" s="10">
        <f>G473/F473</f>
        <v>2.5406925044047874E-4</v>
      </c>
      <c r="M473" s="14">
        <f>IFERROR(ROUND(I473/G473,2),0)</f>
        <v>0.11</v>
      </c>
      <c r="N473" s="11">
        <f>IFERROR(H473/G473,0)</f>
        <v>1.4408695619565217</v>
      </c>
      <c r="O473" s="11">
        <f>IFERROR(H473/I473,0)</f>
        <v>13.25599997</v>
      </c>
      <c r="P473" s="11">
        <f>IFERROR((J473-H473)/H473,0)</f>
        <v>5.4121907206069499</v>
      </c>
    </row>
    <row r="474" spans="1:16">
      <c r="A474">
        <v>1122138</v>
      </c>
      <c r="B474" t="s">
        <v>162</v>
      </c>
      <c r="C474" t="s">
        <v>3</v>
      </c>
      <c r="D474" t="s">
        <v>5</v>
      </c>
      <c r="E474" s="14">
        <v>31</v>
      </c>
      <c r="F474" s="14">
        <v>47229</v>
      </c>
      <c r="G474" s="14">
        <v>13</v>
      </c>
      <c r="H474" s="13">
        <v>19.279999849999999</v>
      </c>
      <c r="I474" s="14">
        <v>5</v>
      </c>
      <c r="J474" s="11">
        <f>I474*85</f>
        <v>425</v>
      </c>
      <c r="K474" s="11">
        <f>J474-H474</f>
        <v>405.72000014999998</v>
      </c>
      <c r="L474" s="10">
        <f>G474/F474</f>
        <v>2.7525461051472613E-4</v>
      </c>
      <c r="M474" s="14">
        <f>IFERROR(ROUND(I474/G474,2),0)</f>
        <v>0.38</v>
      </c>
      <c r="N474" s="11">
        <f>IFERROR(H474/G474,0)</f>
        <v>1.4830769115384614</v>
      </c>
      <c r="O474" s="11">
        <f>IFERROR(H474/I474,0)</f>
        <v>3.8559999700000001</v>
      </c>
      <c r="P474" s="11">
        <f>IFERROR((J474-H474)/H474,0)</f>
        <v>21.043568636231083</v>
      </c>
    </row>
    <row r="475" spans="1:16">
      <c r="A475">
        <v>1122182</v>
      </c>
      <c r="B475" t="s">
        <v>162</v>
      </c>
      <c r="C475" t="s">
        <v>3</v>
      </c>
      <c r="D475" t="s">
        <v>5</v>
      </c>
      <c r="E475" s="14">
        <v>7</v>
      </c>
      <c r="F475" s="14">
        <v>40801</v>
      </c>
      <c r="G475" s="14">
        <v>12</v>
      </c>
      <c r="H475" s="13">
        <v>15.91999972</v>
      </c>
      <c r="I475" s="14">
        <v>5</v>
      </c>
      <c r="J475" s="11">
        <f>I475*85</f>
        <v>425</v>
      </c>
      <c r="K475" s="11">
        <f>J475-H475</f>
        <v>409.08000027999998</v>
      </c>
      <c r="L475" s="10">
        <f>G475/F475</f>
        <v>2.9411043846964535E-4</v>
      </c>
      <c r="M475" s="14">
        <f>IFERROR(ROUND(I475/G475,2),0)</f>
        <v>0.42</v>
      </c>
      <c r="N475" s="11">
        <f>IFERROR(H475/G475,0)</f>
        <v>1.3266666433333334</v>
      </c>
      <c r="O475" s="11">
        <f>IFERROR(H475/I475,0)</f>
        <v>3.183999944</v>
      </c>
      <c r="P475" s="11">
        <f>IFERROR((J475-H475)/H475,0)</f>
        <v>25.695980369024781</v>
      </c>
    </row>
    <row r="476" spans="1:16">
      <c r="A476">
        <v>1122223</v>
      </c>
      <c r="B476" t="s">
        <v>162</v>
      </c>
      <c r="C476" t="s">
        <v>4</v>
      </c>
      <c r="D476" t="s">
        <v>5</v>
      </c>
      <c r="E476" s="14">
        <v>20</v>
      </c>
      <c r="F476" s="14">
        <v>368480</v>
      </c>
      <c r="G476" s="14">
        <v>107</v>
      </c>
      <c r="H476" s="13">
        <v>140.42000110000001</v>
      </c>
      <c r="I476" s="14">
        <v>5</v>
      </c>
      <c r="J476" s="11">
        <f>I476*85</f>
        <v>425</v>
      </c>
      <c r="K476" s="11">
        <f>J476-H476</f>
        <v>284.57999889999996</v>
      </c>
      <c r="L476" s="10">
        <f>G476/F476</f>
        <v>2.9038211029092488E-4</v>
      </c>
      <c r="M476" s="14">
        <f>IFERROR(ROUND(I476/G476,2),0)</f>
        <v>0.05</v>
      </c>
      <c r="N476" s="11">
        <f>IFERROR(H476/G476,0)</f>
        <v>1.3123364588785047</v>
      </c>
      <c r="O476" s="11">
        <f>IFERROR(H476/I476,0)</f>
        <v>28.08400022</v>
      </c>
      <c r="P476" s="11">
        <f>IFERROR((J476-H476)/H476,0)</f>
        <v>2.0266343588570157</v>
      </c>
    </row>
    <row r="477" spans="1:16">
      <c r="A477">
        <v>1122224</v>
      </c>
      <c r="B477" t="s">
        <v>162</v>
      </c>
      <c r="C477" t="s">
        <v>4</v>
      </c>
      <c r="D477" t="s">
        <v>5</v>
      </c>
      <c r="E477" s="14">
        <v>20</v>
      </c>
      <c r="F477" s="14">
        <v>260945</v>
      </c>
      <c r="G477" s="14">
        <v>73</v>
      </c>
      <c r="H477" s="13">
        <v>100.8800011</v>
      </c>
      <c r="I477" s="14">
        <v>5</v>
      </c>
      <c r="J477" s="11">
        <f>I477*85</f>
        <v>425</v>
      </c>
      <c r="K477" s="11">
        <f>J477-H477</f>
        <v>324.11999889999998</v>
      </c>
      <c r="L477" s="10">
        <f>G477/F477</f>
        <v>2.7975243825327175E-4</v>
      </c>
      <c r="M477" s="14">
        <f>IFERROR(ROUND(I477/G477,2),0)</f>
        <v>7.0000000000000007E-2</v>
      </c>
      <c r="N477" s="11">
        <f>IFERROR(H477/G477,0)</f>
        <v>1.3819178232876712</v>
      </c>
      <c r="O477" s="11">
        <f>IFERROR(H477/I477,0)</f>
        <v>20.176000219999999</v>
      </c>
      <c r="P477" s="11">
        <f>IFERROR((J477-H477)/H477,0)</f>
        <v>3.2129262030707886</v>
      </c>
    </row>
    <row r="478" spans="1:16">
      <c r="A478">
        <v>1122249</v>
      </c>
      <c r="B478" t="s">
        <v>162</v>
      </c>
      <c r="C478" t="s">
        <v>4</v>
      </c>
      <c r="D478" t="s">
        <v>5</v>
      </c>
      <c r="E478" s="14">
        <v>25</v>
      </c>
      <c r="F478" s="14">
        <v>300637</v>
      </c>
      <c r="G478" s="14">
        <v>84</v>
      </c>
      <c r="H478" s="13">
        <v>116.98999809999999</v>
      </c>
      <c r="I478" s="14">
        <v>5</v>
      </c>
      <c r="J478" s="11">
        <f>I478*85</f>
        <v>425</v>
      </c>
      <c r="K478" s="11">
        <f>J478-H478</f>
        <v>308.01000190000002</v>
      </c>
      <c r="L478" s="10">
        <f>G478/F478</f>
        <v>2.7940672638431067E-4</v>
      </c>
      <c r="M478" s="14">
        <f>IFERROR(ROUND(I478/G478,2),0)</f>
        <v>0.06</v>
      </c>
      <c r="N478" s="11">
        <f>IFERROR(H478/G478,0)</f>
        <v>1.3927380726190475</v>
      </c>
      <c r="O478" s="11">
        <f>IFERROR(H478/I478,0)</f>
        <v>23.39799962</v>
      </c>
      <c r="P478" s="11">
        <f>IFERROR((J478-H478)/H478,0)</f>
        <v>2.6327891862748909</v>
      </c>
    </row>
    <row r="479" spans="1:16">
      <c r="A479">
        <v>1122303</v>
      </c>
      <c r="B479" t="s">
        <v>162</v>
      </c>
      <c r="C479" t="s">
        <v>4</v>
      </c>
      <c r="D479" t="s">
        <v>5</v>
      </c>
      <c r="E479" s="14">
        <v>63</v>
      </c>
      <c r="F479" s="14">
        <v>391998</v>
      </c>
      <c r="G479" s="14">
        <v>97</v>
      </c>
      <c r="H479" s="13">
        <v>142.05000250000001</v>
      </c>
      <c r="I479" s="14">
        <v>5</v>
      </c>
      <c r="J479" s="11">
        <f>I479*85</f>
        <v>425</v>
      </c>
      <c r="K479" s="11">
        <f>J479-H479</f>
        <v>282.94999749999999</v>
      </c>
      <c r="L479" s="10">
        <f>G479/F479</f>
        <v>2.4745024209307191E-4</v>
      </c>
      <c r="M479" s="14">
        <f>IFERROR(ROUND(I479/G479,2),0)</f>
        <v>0.05</v>
      </c>
      <c r="N479" s="11">
        <f>IFERROR(H479/G479,0)</f>
        <v>1.4644330154639176</v>
      </c>
      <c r="O479" s="11">
        <f>IFERROR(H479/I479,0)</f>
        <v>28.410000500000002</v>
      </c>
      <c r="P479" s="11">
        <f>IFERROR((J479-H479)/H479,0)</f>
        <v>1.9919042064078809</v>
      </c>
    </row>
    <row r="480" spans="1:16">
      <c r="A480">
        <v>1314362</v>
      </c>
      <c r="B480" t="s">
        <v>162</v>
      </c>
      <c r="C480" t="s">
        <v>0</v>
      </c>
      <c r="D480" t="s">
        <v>5</v>
      </c>
      <c r="E480" s="14">
        <v>106</v>
      </c>
      <c r="F480" s="14">
        <v>173912</v>
      </c>
      <c r="G480" s="14">
        <v>26</v>
      </c>
      <c r="H480" s="13">
        <v>35.540000319999997</v>
      </c>
      <c r="I480" s="14">
        <v>5</v>
      </c>
      <c r="J480" s="11">
        <f>I480*85</f>
        <v>425</v>
      </c>
      <c r="K480" s="11">
        <f>J480-H480</f>
        <v>389.45999968000001</v>
      </c>
      <c r="L480" s="10">
        <f>G480/F480</f>
        <v>1.4950089700538203E-4</v>
      </c>
      <c r="M480" s="14">
        <f>IFERROR(ROUND(I480/G480,2),0)</f>
        <v>0.19</v>
      </c>
      <c r="N480" s="11">
        <f>IFERROR(H480/G480,0)</f>
        <v>1.3669230892307691</v>
      </c>
      <c r="O480" s="11">
        <f>IFERROR(H480/I480,0)</f>
        <v>7.1080000639999996</v>
      </c>
      <c r="P480" s="11">
        <f>IFERROR((J480-H480)/H480,0)</f>
        <v>10.958356673419413</v>
      </c>
    </row>
    <row r="481" spans="1:16">
      <c r="A481">
        <v>1314377</v>
      </c>
      <c r="B481" t="s">
        <v>162</v>
      </c>
      <c r="C481" t="s">
        <v>2</v>
      </c>
      <c r="D481" t="s">
        <v>5</v>
      </c>
      <c r="E481" s="14">
        <v>106</v>
      </c>
      <c r="F481" s="14">
        <v>485369</v>
      </c>
      <c r="G481" s="14">
        <v>114</v>
      </c>
      <c r="H481" s="13">
        <v>164.64000150000001</v>
      </c>
      <c r="I481" s="14">
        <v>5</v>
      </c>
      <c r="J481" s="11">
        <f>I481*85</f>
        <v>425</v>
      </c>
      <c r="K481" s="11">
        <f>J481-H481</f>
        <v>260.35999849999996</v>
      </c>
      <c r="L481" s="10">
        <f>G481/F481</f>
        <v>2.3487284931670544E-4</v>
      </c>
      <c r="M481" s="14">
        <f>IFERROR(ROUND(I481/G481,2),0)</f>
        <v>0.04</v>
      </c>
      <c r="N481" s="11">
        <f>IFERROR(H481/G481,0)</f>
        <v>1.4442105394736844</v>
      </c>
      <c r="O481" s="11">
        <f>IFERROR(H481/I481,0)</f>
        <v>32.928000300000001</v>
      </c>
      <c r="P481" s="11">
        <f>IFERROR((J481-H481)/H481,0)</f>
        <v>1.5813896752181453</v>
      </c>
    </row>
    <row r="482" spans="1:16">
      <c r="A482">
        <v>1314380</v>
      </c>
      <c r="B482" t="s">
        <v>162</v>
      </c>
      <c r="C482" t="s">
        <v>2</v>
      </c>
      <c r="D482" t="s">
        <v>5</v>
      </c>
      <c r="E482" s="14">
        <v>109</v>
      </c>
      <c r="F482" s="14">
        <v>475184</v>
      </c>
      <c r="G482" s="14">
        <v>88</v>
      </c>
      <c r="H482" s="13">
        <v>127.3200028</v>
      </c>
      <c r="I482" s="14">
        <v>5</v>
      </c>
      <c r="J482" s="11">
        <f>I482*85</f>
        <v>425</v>
      </c>
      <c r="K482" s="11">
        <f>J482-H482</f>
        <v>297.6799972</v>
      </c>
      <c r="L482" s="10">
        <f>G482/F482</f>
        <v>1.8519142058655175E-4</v>
      </c>
      <c r="M482" s="14">
        <f>IFERROR(ROUND(I482/G482,2),0)</f>
        <v>0.06</v>
      </c>
      <c r="N482" s="11">
        <f>IFERROR(H482/G482,0)</f>
        <v>1.4468182136363636</v>
      </c>
      <c r="O482" s="11">
        <f>IFERROR(H482/I482,0)</f>
        <v>25.464000559999999</v>
      </c>
      <c r="P482" s="11">
        <f>IFERROR((J482-H482)/H482,0)</f>
        <v>2.3380457952676075</v>
      </c>
    </row>
    <row r="483" spans="1:16">
      <c r="A483">
        <v>1314393</v>
      </c>
      <c r="B483" t="s">
        <v>162</v>
      </c>
      <c r="C483" t="s">
        <v>3</v>
      </c>
      <c r="D483" t="s">
        <v>5</v>
      </c>
      <c r="E483" s="14">
        <v>107</v>
      </c>
      <c r="F483" s="14">
        <v>877535</v>
      </c>
      <c r="G483" s="14">
        <v>149</v>
      </c>
      <c r="H483" s="13">
        <v>217.7799966</v>
      </c>
      <c r="I483" s="14">
        <v>5</v>
      </c>
      <c r="J483" s="11">
        <f>I483*85</f>
        <v>425</v>
      </c>
      <c r="K483" s="11">
        <f>J483-H483</f>
        <v>207.2200034</v>
      </c>
      <c r="L483" s="10">
        <f>G483/F483</f>
        <v>1.6979379739839436E-4</v>
      </c>
      <c r="M483" s="14">
        <f>IFERROR(ROUND(I483/G483,2),0)</f>
        <v>0.03</v>
      </c>
      <c r="N483" s="11">
        <f>IFERROR(H483/G483,0)</f>
        <v>1.4616107154362417</v>
      </c>
      <c r="O483" s="11">
        <f>IFERROR(H483/I483,0)</f>
        <v>43.555999319999998</v>
      </c>
      <c r="P483" s="11">
        <f>IFERROR((J483-H483)/H483,0)</f>
        <v>0.95151072933757219</v>
      </c>
    </row>
    <row r="484" spans="1:16">
      <c r="A484">
        <v>734290</v>
      </c>
      <c r="B484" t="s">
        <v>161</v>
      </c>
      <c r="C484" t="s">
        <v>0</v>
      </c>
      <c r="D484" t="s">
        <v>1</v>
      </c>
      <c r="E484" s="14">
        <v>29</v>
      </c>
      <c r="F484" s="14">
        <v>5374</v>
      </c>
      <c r="G484" s="14">
        <v>1</v>
      </c>
      <c r="H484" s="13">
        <v>1.039999962</v>
      </c>
      <c r="I484" s="14">
        <v>4</v>
      </c>
      <c r="J484" s="11">
        <f>I484*85</f>
        <v>340</v>
      </c>
      <c r="K484" s="11">
        <f>J484-H484</f>
        <v>338.96000003799998</v>
      </c>
      <c r="L484" s="10">
        <f>G484/F484</f>
        <v>1.8608113137327876E-4</v>
      </c>
      <c r="M484" s="14">
        <f>IFERROR(ROUND(I484/G484,2),0)</f>
        <v>4</v>
      </c>
      <c r="N484" s="11">
        <f>IFERROR(H484/G484,0)</f>
        <v>1.039999962</v>
      </c>
      <c r="O484" s="11">
        <f>IFERROR(H484/I484,0)</f>
        <v>0.2599999905</v>
      </c>
      <c r="P484" s="11">
        <f>IFERROR((J484-H484)/H484,0)</f>
        <v>325.9230888683436</v>
      </c>
    </row>
    <row r="485" spans="1:16">
      <c r="A485">
        <v>738413</v>
      </c>
      <c r="B485" t="s">
        <v>161</v>
      </c>
      <c r="C485" t="s">
        <v>3</v>
      </c>
      <c r="D485" t="s">
        <v>5</v>
      </c>
      <c r="E485" s="14">
        <v>16</v>
      </c>
      <c r="F485" s="14">
        <v>147159</v>
      </c>
      <c r="G485" s="14">
        <v>36</v>
      </c>
      <c r="H485" s="13">
        <v>58.160000439999997</v>
      </c>
      <c r="I485" s="14">
        <v>4</v>
      </c>
      <c r="J485" s="11">
        <f>I485*85</f>
        <v>340</v>
      </c>
      <c r="K485" s="11">
        <f>J485-H485</f>
        <v>281.83999956000002</v>
      </c>
      <c r="L485" s="10">
        <f>G485/F485</f>
        <v>2.4463335575805763E-4</v>
      </c>
      <c r="M485" s="14">
        <f>IFERROR(ROUND(I485/G485,2),0)</f>
        <v>0.11</v>
      </c>
      <c r="N485" s="11">
        <f>IFERROR(H485/G485,0)</f>
        <v>1.6155555677777778</v>
      </c>
      <c r="O485" s="11">
        <f>IFERROR(H485/I485,0)</f>
        <v>14.540000109999999</v>
      </c>
      <c r="P485" s="11">
        <f>IFERROR((J485-H485)/H485,0)</f>
        <v>4.8459421841091039</v>
      </c>
    </row>
    <row r="486" spans="1:16">
      <c r="A486">
        <v>782694</v>
      </c>
      <c r="B486" t="s">
        <v>161</v>
      </c>
      <c r="C486" t="s">
        <v>2</v>
      </c>
      <c r="D486" t="s">
        <v>5</v>
      </c>
      <c r="E486" s="14">
        <v>29</v>
      </c>
      <c r="F486" s="14">
        <v>29035</v>
      </c>
      <c r="G486" s="14">
        <v>7</v>
      </c>
      <c r="H486" s="13">
        <v>8.9100000860000002</v>
      </c>
      <c r="I486" s="14">
        <v>4</v>
      </c>
      <c r="J486" s="11">
        <f>I486*85</f>
        <v>340</v>
      </c>
      <c r="K486" s="11">
        <f>J486-H486</f>
        <v>331.08999991399997</v>
      </c>
      <c r="L486" s="10">
        <f>G486/F486</f>
        <v>2.4108834165662132E-4</v>
      </c>
      <c r="M486" s="14">
        <f>IFERROR(ROUND(I486/G486,2),0)</f>
        <v>0.56999999999999995</v>
      </c>
      <c r="N486" s="11">
        <f>IFERROR(H486/G486,0)</f>
        <v>1.2728571551428571</v>
      </c>
      <c r="O486" s="11">
        <f>IFERROR(H486/I486,0)</f>
        <v>2.2275000215</v>
      </c>
      <c r="P486" s="11">
        <f>IFERROR((J486-H486)/H486,0)</f>
        <v>37.159371124387661</v>
      </c>
    </row>
    <row r="487" spans="1:16">
      <c r="A487">
        <v>950770</v>
      </c>
      <c r="B487" t="s">
        <v>161</v>
      </c>
      <c r="C487" t="s">
        <v>0</v>
      </c>
      <c r="D487" t="s">
        <v>1</v>
      </c>
      <c r="E487" s="14">
        <v>28</v>
      </c>
      <c r="F487" s="14">
        <v>7780</v>
      </c>
      <c r="G487" s="14">
        <v>3</v>
      </c>
      <c r="H487" s="13">
        <v>4.329999924</v>
      </c>
      <c r="I487" s="14">
        <v>4</v>
      </c>
      <c r="J487" s="11">
        <f>I487*85</f>
        <v>340</v>
      </c>
      <c r="K487" s="11">
        <f>J487-H487</f>
        <v>335.67000007600001</v>
      </c>
      <c r="L487" s="10">
        <f>G487/F487</f>
        <v>3.8560411311053987E-4</v>
      </c>
      <c r="M487" s="14">
        <f>IFERROR(ROUND(I487/G487,2),0)</f>
        <v>1.33</v>
      </c>
      <c r="N487" s="11">
        <f>IFERROR(H487/G487,0)</f>
        <v>1.4433333079999999</v>
      </c>
      <c r="O487" s="11">
        <f>IFERROR(H487/I487,0)</f>
        <v>1.082499981</v>
      </c>
      <c r="P487" s="11">
        <f>IFERROR((J487-H487)/H487,0)</f>
        <v>77.521941332024838</v>
      </c>
    </row>
    <row r="488" spans="1:16">
      <c r="A488">
        <v>951391</v>
      </c>
      <c r="B488" t="s">
        <v>161</v>
      </c>
      <c r="C488" t="s">
        <v>0</v>
      </c>
      <c r="D488" t="s">
        <v>5</v>
      </c>
      <c r="E488" s="14">
        <v>28</v>
      </c>
      <c r="F488" s="14">
        <v>2879</v>
      </c>
      <c r="G488" s="14">
        <v>1</v>
      </c>
      <c r="H488" s="13">
        <v>1.5900000329999999</v>
      </c>
      <c r="I488" s="14">
        <v>4</v>
      </c>
      <c r="J488" s="11">
        <f>I488*85</f>
        <v>340</v>
      </c>
      <c r="K488" s="11">
        <f>J488-H488</f>
        <v>338.40999996699998</v>
      </c>
      <c r="L488" s="10">
        <f>G488/F488</f>
        <v>3.4734282737061478E-4</v>
      </c>
      <c r="M488" s="14">
        <f>IFERROR(ROUND(I488/G488,2),0)</f>
        <v>4</v>
      </c>
      <c r="N488" s="11">
        <f>IFERROR(H488/G488,0)</f>
        <v>1.5900000329999999</v>
      </c>
      <c r="O488" s="11">
        <f>IFERROR(H488/I488,0)</f>
        <v>0.39750000824999998</v>
      </c>
      <c r="P488" s="11">
        <f>IFERROR((J488-H488)/H488,0)</f>
        <v>212.83647354930588</v>
      </c>
    </row>
    <row r="489" spans="1:16">
      <c r="A489">
        <v>1121760</v>
      </c>
      <c r="B489" t="s">
        <v>162</v>
      </c>
      <c r="C489" t="s">
        <v>0</v>
      </c>
      <c r="D489" t="s">
        <v>5</v>
      </c>
      <c r="E489" s="14">
        <v>18</v>
      </c>
      <c r="F489" s="14">
        <v>764793</v>
      </c>
      <c r="G489" s="14">
        <v>101</v>
      </c>
      <c r="H489" s="13">
        <v>171.97999759999999</v>
      </c>
      <c r="I489" s="14">
        <v>4</v>
      </c>
      <c r="J489" s="11">
        <f>I489*85</f>
        <v>340</v>
      </c>
      <c r="K489" s="11">
        <f>J489-H489</f>
        <v>168.02000240000001</v>
      </c>
      <c r="L489" s="10">
        <f>G489/F489</f>
        <v>1.3206187818141642E-4</v>
      </c>
      <c r="M489" s="14">
        <f>IFERROR(ROUND(I489/G489,2),0)</f>
        <v>0.04</v>
      </c>
      <c r="N489" s="11">
        <f>IFERROR(H489/G489,0)</f>
        <v>1.7027722534653464</v>
      </c>
      <c r="O489" s="11">
        <f>IFERROR(H489/I489,0)</f>
        <v>42.994999399999998</v>
      </c>
      <c r="P489" s="11">
        <f>IFERROR((J489-H489)/H489,0)</f>
        <v>0.97697409434084104</v>
      </c>
    </row>
    <row r="490" spans="1:16">
      <c r="A490">
        <v>1121767</v>
      </c>
      <c r="B490" t="s">
        <v>162</v>
      </c>
      <c r="C490" t="s">
        <v>0</v>
      </c>
      <c r="D490" t="s">
        <v>5</v>
      </c>
      <c r="E490" s="14">
        <v>19</v>
      </c>
      <c r="F490" s="14">
        <v>87043</v>
      </c>
      <c r="G490" s="14">
        <v>16</v>
      </c>
      <c r="H490" s="13">
        <v>24.480000019999999</v>
      </c>
      <c r="I490" s="14">
        <v>4</v>
      </c>
      <c r="J490" s="11">
        <f>I490*85</f>
        <v>340</v>
      </c>
      <c r="K490" s="11">
        <f>J490-H490</f>
        <v>315.51999998000002</v>
      </c>
      <c r="L490" s="10">
        <f>G490/F490</f>
        <v>1.8381719380076514E-4</v>
      </c>
      <c r="M490" s="14">
        <f>IFERROR(ROUND(I490/G490,2),0)</f>
        <v>0.25</v>
      </c>
      <c r="N490" s="11">
        <f>IFERROR(H490/G490,0)</f>
        <v>1.5300000012499999</v>
      </c>
      <c r="O490" s="11">
        <f>IFERROR(H490/I490,0)</f>
        <v>6.1200000049999996</v>
      </c>
      <c r="P490" s="11">
        <f>IFERROR((J490-H490)/H490,0)</f>
        <v>12.88888887754176</v>
      </c>
    </row>
    <row r="491" spans="1:16">
      <c r="A491">
        <v>1121795</v>
      </c>
      <c r="B491" t="s">
        <v>162</v>
      </c>
      <c r="C491" t="s">
        <v>0</v>
      </c>
      <c r="D491" t="s">
        <v>5</v>
      </c>
      <c r="E491" s="14">
        <v>24</v>
      </c>
      <c r="F491" s="14">
        <v>24959</v>
      </c>
      <c r="G491" s="14">
        <v>3</v>
      </c>
      <c r="H491" s="13">
        <v>4.5600000620000003</v>
      </c>
      <c r="I491" s="14">
        <v>4</v>
      </c>
      <c r="J491" s="11">
        <f>I491*85</f>
        <v>340</v>
      </c>
      <c r="K491" s="11">
        <f>J491-H491</f>
        <v>335.43999993800003</v>
      </c>
      <c r="L491" s="10">
        <f>G491/F491</f>
        <v>1.2019712328218278E-4</v>
      </c>
      <c r="M491" s="14">
        <f>IFERROR(ROUND(I491/G491,2),0)</f>
        <v>1.33</v>
      </c>
      <c r="N491" s="11">
        <f>IFERROR(H491/G491,0)</f>
        <v>1.5200000206666668</v>
      </c>
      <c r="O491" s="11">
        <f>IFERROR(H491/I491,0)</f>
        <v>1.1400000155000001</v>
      </c>
      <c r="P491" s="11">
        <f>IFERROR((J491-H491)/H491,0)</f>
        <v>73.561402494998475</v>
      </c>
    </row>
    <row r="492" spans="1:16">
      <c r="A492">
        <v>1121815</v>
      </c>
      <c r="B492" t="s">
        <v>162</v>
      </c>
      <c r="C492" t="s">
        <v>0</v>
      </c>
      <c r="D492" t="s">
        <v>5</v>
      </c>
      <c r="E492" s="14">
        <v>27</v>
      </c>
      <c r="F492" s="14">
        <v>240497</v>
      </c>
      <c r="G492" s="14">
        <v>36</v>
      </c>
      <c r="H492" s="13">
        <v>51.840000869999997</v>
      </c>
      <c r="I492" s="14">
        <v>4</v>
      </c>
      <c r="J492" s="11">
        <f>I492*85</f>
        <v>340</v>
      </c>
      <c r="K492" s="11">
        <f>J492-H492</f>
        <v>288.15999913000002</v>
      </c>
      <c r="L492" s="10">
        <f>G492/F492</f>
        <v>1.4969001692328803E-4</v>
      </c>
      <c r="M492" s="14">
        <f>IFERROR(ROUND(I492/G492,2),0)</f>
        <v>0.11</v>
      </c>
      <c r="N492" s="11">
        <f>IFERROR(H492/G492,0)</f>
        <v>1.4400000241666666</v>
      </c>
      <c r="O492" s="11">
        <f>IFERROR(H492/I492,0)</f>
        <v>12.960000217499999</v>
      </c>
      <c r="P492" s="11">
        <f>IFERROR((J492-H492)/H492,0)</f>
        <v>5.558641865238843</v>
      </c>
    </row>
    <row r="493" spans="1:16">
      <c r="A493">
        <v>1121847</v>
      </c>
      <c r="B493" t="s">
        <v>162</v>
      </c>
      <c r="C493" t="s">
        <v>0</v>
      </c>
      <c r="D493" t="s">
        <v>5</v>
      </c>
      <c r="E493" s="14">
        <v>36</v>
      </c>
      <c r="F493" s="14">
        <v>39339</v>
      </c>
      <c r="G493" s="14">
        <v>4</v>
      </c>
      <c r="H493" s="13">
        <v>5.9299999479999999</v>
      </c>
      <c r="I493" s="14">
        <v>4</v>
      </c>
      <c r="J493" s="11">
        <f>I493*85</f>
        <v>340</v>
      </c>
      <c r="K493" s="11">
        <f>J493-H493</f>
        <v>334.07000005200001</v>
      </c>
      <c r="L493" s="10">
        <f>G493/F493</f>
        <v>1.0168026640229797E-4</v>
      </c>
      <c r="M493" s="14">
        <f>IFERROR(ROUND(I493/G493,2),0)</f>
        <v>1</v>
      </c>
      <c r="N493" s="11">
        <f>IFERROR(H493/G493,0)</f>
        <v>1.482499987</v>
      </c>
      <c r="O493" s="11">
        <f>IFERROR(H493/I493,0)</f>
        <v>1.482499987</v>
      </c>
      <c r="P493" s="11">
        <f>IFERROR((J493-H493)/H493,0)</f>
        <v>56.335582290295157</v>
      </c>
    </row>
    <row r="494" spans="1:16">
      <c r="A494">
        <v>1121874</v>
      </c>
      <c r="B494" t="s">
        <v>162</v>
      </c>
      <c r="C494" t="s">
        <v>0</v>
      </c>
      <c r="D494" t="s">
        <v>5</v>
      </c>
      <c r="E494" s="14">
        <v>2</v>
      </c>
      <c r="F494" s="14">
        <v>145548</v>
      </c>
      <c r="G494" s="14">
        <v>28</v>
      </c>
      <c r="H494" s="13">
        <v>42.370000359999999</v>
      </c>
      <c r="I494" s="14">
        <v>4</v>
      </c>
      <c r="J494" s="11">
        <f>I494*85</f>
        <v>340</v>
      </c>
      <c r="K494" s="11">
        <f>J494-H494</f>
        <v>297.62999963999999</v>
      </c>
      <c r="L494" s="10">
        <f>G494/F494</f>
        <v>1.9237639816417951E-4</v>
      </c>
      <c r="M494" s="14">
        <f>IFERROR(ROUND(I494/G494,2),0)</f>
        <v>0.14000000000000001</v>
      </c>
      <c r="N494" s="11">
        <f>IFERROR(H494/G494,0)</f>
        <v>1.5132142985714285</v>
      </c>
      <c r="O494" s="11">
        <f>IFERROR(H494/I494,0)</f>
        <v>10.59250009</v>
      </c>
      <c r="P494" s="11">
        <f>IFERROR((J494-H494)/H494,0)</f>
        <v>7.0245456009243235</v>
      </c>
    </row>
    <row r="495" spans="1:16">
      <c r="A495">
        <v>1121935</v>
      </c>
      <c r="B495" t="s">
        <v>162</v>
      </c>
      <c r="C495" t="s">
        <v>2</v>
      </c>
      <c r="D495" t="s">
        <v>5</v>
      </c>
      <c r="E495" s="14">
        <v>22</v>
      </c>
      <c r="F495" s="14">
        <v>66277</v>
      </c>
      <c r="G495" s="14">
        <v>12</v>
      </c>
      <c r="H495" s="13">
        <v>17.300000189999999</v>
      </c>
      <c r="I495" s="14">
        <v>4</v>
      </c>
      <c r="J495" s="11">
        <f>I495*85</f>
        <v>340</v>
      </c>
      <c r="K495" s="11">
        <f>J495-H495</f>
        <v>322.69999981000001</v>
      </c>
      <c r="L495" s="10">
        <f>G495/F495</f>
        <v>1.8105828567979842E-4</v>
      </c>
      <c r="M495" s="14">
        <f>IFERROR(ROUND(I495/G495,2),0)</f>
        <v>0.33</v>
      </c>
      <c r="N495" s="11">
        <f>IFERROR(H495/G495,0)</f>
        <v>1.4416666825</v>
      </c>
      <c r="O495" s="11">
        <f>IFERROR(H495/I495,0)</f>
        <v>4.3250000474999997</v>
      </c>
      <c r="P495" s="11">
        <f>IFERROR((J495-H495)/H495,0)</f>
        <v>18.653178974907284</v>
      </c>
    </row>
    <row r="496" spans="1:16">
      <c r="A496">
        <v>1121954</v>
      </c>
      <c r="B496" t="s">
        <v>162</v>
      </c>
      <c r="C496" t="s">
        <v>2</v>
      </c>
      <c r="D496" t="s">
        <v>5</v>
      </c>
      <c r="E496" s="14">
        <v>25</v>
      </c>
      <c r="F496" s="14">
        <v>120335</v>
      </c>
      <c r="G496" s="14">
        <v>26</v>
      </c>
      <c r="H496" s="13">
        <v>36.229999300000003</v>
      </c>
      <c r="I496" s="14">
        <v>4</v>
      </c>
      <c r="J496" s="11">
        <f>I496*85</f>
        <v>340</v>
      </c>
      <c r="K496" s="11">
        <f>J496-H496</f>
        <v>303.77000069999997</v>
      </c>
      <c r="L496" s="10">
        <f>G496/F496</f>
        <v>2.1606348942535423E-4</v>
      </c>
      <c r="M496" s="14">
        <f>IFERROR(ROUND(I496/G496,2),0)</f>
        <v>0.15</v>
      </c>
      <c r="N496" s="11">
        <f>IFERROR(H496/G496,0)</f>
        <v>1.3934615115384617</v>
      </c>
      <c r="O496" s="11">
        <f>IFERROR(H496/I496,0)</f>
        <v>9.0574998250000007</v>
      </c>
      <c r="P496" s="11">
        <f>IFERROR((J496-H496)/H496,0)</f>
        <v>8.3844881746933932</v>
      </c>
    </row>
    <row r="497" spans="1:16">
      <c r="A497">
        <v>1122056</v>
      </c>
      <c r="B497" t="s">
        <v>162</v>
      </c>
      <c r="C497" t="s">
        <v>3</v>
      </c>
      <c r="D497" t="s">
        <v>5</v>
      </c>
      <c r="E497" s="14">
        <v>16</v>
      </c>
      <c r="F497" s="14">
        <v>925555</v>
      </c>
      <c r="G497" s="14">
        <v>182</v>
      </c>
      <c r="H497" s="13">
        <v>262.88999810000001</v>
      </c>
      <c r="I497" s="14">
        <v>4</v>
      </c>
      <c r="J497" s="11">
        <f>I497*85</f>
        <v>340</v>
      </c>
      <c r="K497" s="11">
        <f>J497-H497</f>
        <v>77.110001899999986</v>
      </c>
      <c r="L497" s="10">
        <f>G497/F497</f>
        <v>1.9663877349266115E-4</v>
      </c>
      <c r="M497" s="14">
        <f>IFERROR(ROUND(I497/G497,2),0)</f>
        <v>0.02</v>
      </c>
      <c r="N497" s="11">
        <f>IFERROR(H497/G497,0)</f>
        <v>1.4444505390109892</v>
      </c>
      <c r="O497" s="11">
        <f>IFERROR(H497/I497,0)</f>
        <v>65.722499525000003</v>
      </c>
      <c r="P497" s="11">
        <f>IFERROR((J497-H497)/H497,0)</f>
        <v>0.29331660564228967</v>
      </c>
    </row>
    <row r="498" spans="1:16">
      <c r="A498">
        <v>1122075</v>
      </c>
      <c r="B498" t="s">
        <v>162</v>
      </c>
      <c r="C498" t="s">
        <v>3</v>
      </c>
      <c r="D498" t="s">
        <v>5</v>
      </c>
      <c r="E498" s="14">
        <v>21</v>
      </c>
      <c r="F498" s="14">
        <v>46391</v>
      </c>
      <c r="G498" s="14">
        <v>11</v>
      </c>
      <c r="H498" s="13">
        <v>16.409999849999998</v>
      </c>
      <c r="I498" s="14">
        <v>4</v>
      </c>
      <c r="J498" s="11">
        <f>I498*85</f>
        <v>340</v>
      </c>
      <c r="K498" s="11">
        <f>J498-H498</f>
        <v>323.59000014999998</v>
      </c>
      <c r="L498" s="10">
        <f>G498/F498</f>
        <v>2.3711495764264619E-4</v>
      </c>
      <c r="M498" s="14">
        <f>IFERROR(ROUND(I498/G498,2),0)</f>
        <v>0.36</v>
      </c>
      <c r="N498" s="11">
        <f>IFERROR(H498/G498,0)</f>
        <v>1.4918181681818181</v>
      </c>
      <c r="O498" s="11">
        <f>IFERROR(H498/I498,0)</f>
        <v>4.1024999624999996</v>
      </c>
      <c r="P498" s="11">
        <f>IFERROR((J498-H498)/H498,0)</f>
        <v>19.719073924915364</v>
      </c>
    </row>
    <row r="499" spans="1:16">
      <c r="A499">
        <v>1122160</v>
      </c>
      <c r="B499" t="s">
        <v>162</v>
      </c>
      <c r="C499" t="s">
        <v>3</v>
      </c>
      <c r="D499" t="s">
        <v>5</v>
      </c>
      <c r="E499" s="14">
        <v>64</v>
      </c>
      <c r="F499" s="14">
        <v>173165</v>
      </c>
      <c r="G499" s="14">
        <v>41</v>
      </c>
      <c r="H499" s="13">
        <v>59.850000260000002</v>
      </c>
      <c r="I499" s="14">
        <v>4</v>
      </c>
      <c r="J499" s="11">
        <f>I499*85</f>
        <v>340</v>
      </c>
      <c r="K499" s="11">
        <f>J499-H499</f>
        <v>280.14999974</v>
      </c>
      <c r="L499" s="10">
        <f>G499/F499</f>
        <v>2.3676840008084776E-4</v>
      </c>
      <c r="M499" s="14">
        <f>IFERROR(ROUND(I499/G499,2),0)</f>
        <v>0.1</v>
      </c>
      <c r="N499" s="11">
        <f>IFERROR(H499/G499,0)</f>
        <v>1.4597561039024392</v>
      </c>
      <c r="O499" s="11">
        <f>IFERROR(H499/I499,0)</f>
        <v>14.962500065</v>
      </c>
      <c r="P499" s="11">
        <f>IFERROR((J499-H499)/H499,0)</f>
        <v>4.6808688140847803</v>
      </c>
    </row>
    <row r="500" spans="1:16">
      <c r="A500">
        <v>1122176</v>
      </c>
      <c r="B500" t="s">
        <v>162</v>
      </c>
      <c r="C500" t="s">
        <v>3</v>
      </c>
      <c r="D500" t="s">
        <v>5</v>
      </c>
      <c r="E500" s="14">
        <v>2</v>
      </c>
      <c r="F500" s="14">
        <v>74424</v>
      </c>
      <c r="G500" s="14">
        <v>22</v>
      </c>
      <c r="H500" s="13">
        <v>30.840000270000001</v>
      </c>
      <c r="I500" s="14">
        <v>4</v>
      </c>
      <c r="J500" s="11">
        <f>I500*85</f>
        <v>340</v>
      </c>
      <c r="K500" s="11">
        <f>J500-H500</f>
        <v>309.15999972999998</v>
      </c>
      <c r="L500" s="10">
        <f>G500/F500</f>
        <v>2.9560356874126624E-4</v>
      </c>
      <c r="M500" s="14">
        <f>IFERROR(ROUND(I500/G500,2),0)</f>
        <v>0.18</v>
      </c>
      <c r="N500" s="11">
        <f>IFERROR(H500/G500,0)</f>
        <v>1.4018181940909091</v>
      </c>
      <c r="O500" s="11">
        <f>IFERROR(H500/I500,0)</f>
        <v>7.7100000675000002</v>
      </c>
      <c r="P500" s="11">
        <f>IFERROR((J500-H500)/H500,0)</f>
        <v>10.024643223843913</v>
      </c>
    </row>
    <row r="501" spans="1:16">
      <c r="A501">
        <v>1122204</v>
      </c>
      <c r="B501" t="s">
        <v>162</v>
      </c>
      <c r="C501" t="s">
        <v>4</v>
      </c>
      <c r="D501" t="s">
        <v>5</v>
      </c>
      <c r="E501" s="14">
        <v>16</v>
      </c>
      <c r="F501" s="14">
        <v>850337</v>
      </c>
      <c r="G501" s="14">
        <v>198</v>
      </c>
      <c r="H501" s="13">
        <v>287.69000299999999</v>
      </c>
      <c r="I501" s="14">
        <v>4</v>
      </c>
      <c r="J501" s="11">
        <f>I501*85</f>
        <v>340</v>
      </c>
      <c r="K501" s="11">
        <f>J501-H501</f>
        <v>52.30999700000001</v>
      </c>
      <c r="L501" s="10">
        <f>G501/F501</f>
        <v>2.3284885874659105E-4</v>
      </c>
      <c r="M501" s="14">
        <f>IFERROR(ROUND(I501/G501,2),0)</f>
        <v>0.02</v>
      </c>
      <c r="N501" s="11">
        <f>IFERROR(H501/G501,0)</f>
        <v>1.4529798131313132</v>
      </c>
      <c r="O501" s="11">
        <f>IFERROR(H501/I501,0)</f>
        <v>71.922500749999998</v>
      </c>
      <c r="P501" s="11">
        <f>IFERROR((J501-H501)/H501,0)</f>
        <v>0.18182764939524163</v>
      </c>
    </row>
    <row r="502" spans="1:16">
      <c r="A502">
        <v>1122216</v>
      </c>
      <c r="B502" t="s">
        <v>162</v>
      </c>
      <c r="C502" t="s">
        <v>4</v>
      </c>
      <c r="D502" t="s">
        <v>5</v>
      </c>
      <c r="E502" s="14">
        <v>19</v>
      </c>
      <c r="F502" s="14">
        <v>76785</v>
      </c>
      <c r="G502" s="14">
        <v>19</v>
      </c>
      <c r="H502" s="13">
        <v>25.459999979999999</v>
      </c>
      <c r="I502" s="14">
        <v>4</v>
      </c>
      <c r="J502" s="11">
        <f>I502*85</f>
        <v>340</v>
      </c>
      <c r="K502" s="11">
        <f>J502-H502</f>
        <v>314.54000001999998</v>
      </c>
      <c r="L502" s="10">
        <f>G502/F502</f>
        <v>2.4744416227127697E-4</v>
      </c>
      <c r="M502" s="14">
        <f>IFERROR(ROUND(I502/G502,2),0)</f>
        <v>0.21</v>
      </c>
      <c r="N502" s="11">
        <f>IFERROR(H502/G502,0)</f>
        <v>1.3399999989473683</v>
      </c>
      <c r="O502" s="11">
        <f>IFERROR(H502/I502,0)</f>
        <v>6.3649999949999998</v>
      </c>
      <c r="P502" s="11">
        <f>IFERROR((J502-H502)/H502,0)</f>
        <v>12.354281235942089</v>
      </c>
    </row>
    <row r="503" spans="1:16">
      <c r="A503">
        <v>1122232</v>
      </c>
      <c r="B503" t="s">
        <v>162</v>
      </c>
      <c r="C503" t="s">
        <v>4</v>
      </c>
      <c r="D503" t="s">
        <v>5</v>
      </c>
      <c r="E503" s="14">
        <v>22</v>
      </c>
      <c r="F503" s="14">
        <v>221561</v>
      </c>
      <c r="G503" s="14">
        <v>55</v>
      </c>
      <c r="H503" s="13">
        <v>76.759999160000007</v>
      </c>
      <c r="I503" s="14">
        <v>4</v>
      </c>
      <c r="J503" s="11">
        <f>I503*85</f>
        <v>340</v>
      </c>
      <c r="K503" s="11">
        <f>J503-H503</f>
        <v>263.24000083999999</v>
      </c>
      <c r="L503" s="10">
        <f>G503/F503</f>
        <v>2.4823863405563256E-4</v>
      </c>
      <c r="M503" s="14">
        <f>IFERROR(ROUND(I503/G503,2),0)</f>
        <v>7.0000000000000007E-2</v>
      </c>
      <c r="N503" s="11">
        <f>IFERROR(H503/G503,0)</f>
        <v>1.3956363483636365</v>
      </c>
      <c r="O503" s="11">
        <f>IFERROR(H503/I503,0)</f>
        <v>19.189999790000002</v>
      </c>
      <c r="P503" s="11">
        <f>IFERROR((J503-H503)/H503,0)</f>
        <v>3.4293903559235002</v>
      </c>
    </row>
    <row r="504" spans="1:16">
      <c r="A504">
        <v>1122240</v>
      </c>
      <c r="B504" t="s">
        <v>162</v>
      </c>
      <c r="C504" t="s">
        <v>4</v>
      </c>
      <c r="D504" t="s">
        <v>5</v>
      </c>
      <c r="E504" s="14">
        <v>23</v>
      </c>
      <c r="F504" s="14">
        <v>284488</v>
      </c>
      <c r="G504" s="14">
        <v>90</v>
      </c>
      <c r="H504" s="13">
        <v>125.2700011</v>
      </c>
      <c r="I504" s="14">
        <v>4</v>
      </c>
      <c r="J504" s="11">
        <f>I504*85</f>
        <v>340</v>
      </c>
      <c r="K504" s="11">
        <f>J504-H504</f>
        <v>214.7299989</v>
      </c>
      <c r="L504" s="10">
        <f>G504/F504</f>
        <v>3.163578077106943E-4</v>
      </c>
      <c r="M504" s="14">
        <f>IFERROR(ROUND(I504/G504,2),0)</f>
        <v>0.04</v>
      </c>
      <c r="N504" s="11">
        <f>IFERROR(H504/G504,0)</f>
        <v>1.3918889011111111</v>
      </c>
      <c r="O504" s="11">
        <f>IFERROR(H504/I504,0)</f>
        <v>31.317500275</v>
      </c>
      <c r="P504" s="11">
        <f>IFERROR((J504-H504)/H504,0)</f>
        <v>1.7141374392468174</v>
      </c>
    </row>
    <row r="505" spans="1:16">
      <c r="A505">
        <v>1122271</v>
      </c>
      <c r="B505" t="s">
        <v>162</v>
      </c>
      <c r="C505" t="s">
        <v>4</v>
      </c>
      <c r="D505" t="s">
        <v>5</v>
      </c>
      <c r="E505" s="14">
        <v>28</v>
      </c>
      <c r="F505" s="14">
        <v>348542</v>
      </c>
      <c r="G505" s="14">
        <v>96</v>
      </c>
      <c r="H505" s="13">
        <v>134.88999899999999</v>
      </c>
      <c r="I505" s="14">
        <v>4</v>
      </c>
      <c r="J505" s="11">
        <f>I505*85</f>
        <v>340</v>
      </c>
      <c r="K505" s="11">
        <f>J505-H505</f>
        <v>205.11000100000001</v>
      </c>
      <c r="L505" s="10">
        <f>G505/F505</f>
        <v>2.7543308984283099E-4</v>
      </c>
      <c r="M505" s="14">
        <f>IFERROR(ROUND(I505/G505,2),0)</f>
        <v>0.04</v>
      </c>
      <c r="N505" s="11">
        <f>IFERROR(H505/G505,0)</f>
        <v>1.40510415625</v>
      </c>
      <c r="O505" s="11">
        <f>IFERROR(H505/I505,0)</f>
        <v>33.722499749999997</v>
      </c>
      <c r="P505" s="11">
        <f>IFERROR((J505-H505)/H505,0)</f>
        <v>1.52057233687132</v>
      </c>
    </row>
    <row r="506" spans="1:16">
      <c r="A506">
        <v>1122310</v>
      </c>
      <c r="B506" t="s">
        <v>162</v>
      </c>
      <c r="C506" t="s">
        <v>4</v>
      </c>
      <c r="D506" t="s">
        <v>5</v>
      </c>
      <c r="E506" s="14">
        <v>64</v>
      </c>
      <c r="F506" s="14">
        <v>536457</v>
      </c>
      <c r="G506" s="14">
        <v>136</v>
      </c>
      <c r="H506" s="13">
        <v>193.65999909999999</v>
      </c>
      <c r="I506" s="14">
        <v>4</v>
      </c>
      <c r="J506" s="11">
        <f>I506*85</f>
        <v>340</v>
      </c>
      <c r="K506" s="11">
        <f>J506-H506</f>
        <v>146.34000090000001</v>
      </c>
      <c r="L506" s="10">
        <f>G506/F506</f>
        <v>2.5351519320281031E-4</v>
      </c>
      <c r="M506" s="14">
        <f>IFERROR(ROUND(I506/G506,2),0)</f>
        <v>0.03</v>
      </c>
      <c r="N506" s="11">
        <f>IFERROR(H506/G506,0)</f>
        <v>1.4239705816176471</v>
      </c>
      <c r="O506" s="11">
        <f>IFERROR(H506/I506,0)</f>
        <v>48.414999774999998</v>
      </c>
      <c r="P506" s="11">
        <f>IFERROR((J506-H506)/H506,0)</f>
        <v>0.75565424754770649</v>
      </c>
    </row>
    <row r="507" spans="1:16">
      <c r="A507">
        <v>1122312</v>
      </c>
      <c r="B507" t="s">
        <v>162</v>
      </c>
      <c r="C507" t="s">
        <v>4</v>
      </c>
      <c r="D507" t="s">
        <v>5</v>
      </c>
      <c r="E507" s="14">
        <v>64</v>
      </c>
      <c r="F507" s="14">
        <v>479882</v>
      </c>
      <c r="G507" s="14">
        <v>131</v>
      </c>
      <c r="H507" s="13">
        <v>178.6700007</v>
      </c>
      <c r="I507" s="14">
        <v>4</v>
      </c>
      <c r="J507" s="11">
        <f>I507*85</f>
        <v>340</v>
      </c>
      <c r="K507" s="11">
        <f>J507-H507</f>
        <v>161.3299993</v>
      </c>
      <c r="L507" s="10">
        <f>G507/F507</f>
        <v>2.7298377517806461E-4</v>
      </c>
      <c r="M507" s="14">
        <f>IFERROR(ROUND(I507/G507,2),0)</f>
        <v>0.03</v>
      </c>
      <c r="N507" s="11">
        <f>IFERROR(H507/G507,0)</f>
        <v>1.3638931351145038</v>
      </c>
      <c r="O507" s="11">
        <f>IFERROR(H507/I507,0)</f>
        <v>44.667500175000001</v>
      </c>
      <c r="P507" s="11">
        <f>IFERROR((J507-H507)/H507,0)</f>
        <v>0.90294956438089946</v>
      </c>
    </row>
    <row r="508" spans="1:16">
      <c r="A508">
        <v>1314366</v>
      </c>
      <c r="B508" t="s">
        <v>162</v>
      </c>
      <c r="C508" t="s">
        <v>0</v>
      </c>
      <c r="D508" t="s">
        <v>5</v>
      </c>
      <c r="E508" s="14">
        <v>110</v>
      </c>
      <c r="F508" s="14">
        <v>99020</v>
      </c>
      <c r="G508" s="14">
        <v>10</v>
      </c>
      <c r="H508" s="13">
        <v>14.48000044</v>
      </c>
      <c r="I508" s="14">
        <v>4</v>
      </c>
      <c r="J508" s="11">
        <f>I508*85</f>
        <v>340</v>
      </c>
      <c r="K508" s="11">
        <f>J508-H508</f>
        <v>325.51999955999997</v>
      </c>
      <c r="L508" s="10">
        <f>G508/F508</f>
        <v>1.0098969905069682E-4</v>
      </c>
      <c r="M508" s="14">
        <f>IFERROR(ROUND(I508/G508,2),0)</f>
        <v>0.4</v>
      </c>
      <c r="N508" s="11">
        <f>IFERROR(H508/G508,0)</f>
        <v>1.448000044</v>
      </c>
      <c r="O508" s="11">
        <f>IFERROR(H508/I508,0)</f>
        <v>3.6200001099999999</v>
      </c>
      <c r="P508" s="11">
        <f>IFERROR((J508-H508)/H508,0)</f>
        <v>22.480662269924625</v>
      </c>
    </row>
    <row r="509" spans="1:16">
      <c r="A509">
        <v>1314395</v>
      </c>
      <c r="B509" t="s">
        <v>162</v>
      </c>
      <c r="C509" t="s">
        <v>3</v>
      </c>
      <c r="D509" t="s">
        <v>5</v>
      </c>
      <c r="E509" s="14">
        <v>109</v>
      </c>
      <c r="F509" s="14">
        <v>280240</v>
      </c>
      <c r="G509" s="14">
        <v>61</v>
      </c>
      <c r="H509" s="13">
        <v>87.990001680000006</v>
      </c>
      <c r="I509" s="14">
        <v>4</v>
      </c>
      <c r="J509" s="11">
        <f>I509*85</f>
        <v>340</v>
      </c>
      <c r="K509" s="11">
        <f>J509-H509</f>
        <v>252.00999831999999</v>
      </c>
      <c r="L509" s="10">
        <f>G509/F509</f>
        <v>2.1767056808449901E-4</v>
      </c>
      <c r="M509" s="14">
        <f>IFERROR(ROUND(I509/G509,2),0)</f>
        <v>7.0000000000000007E-2</v>
      </c>
      <c r="N509" s="11">
        <f>IFERROR(H509/G509,0)</f>
        <v>1.4424590439344263</v>
      </c>
      <c r="O509" s="11">
        <f>IFERROR(H509/I509,0)</f>
        <v>21.997500420000001</v>
      </c>
      <c r="P509" s="11">
        <f>IFERROR((J509-H509)/H509,0)</f>
        <v>2.864075389343713</v>
      </c>
    </row>
    <row r="510" spans="1:16">
      <c r="A510">
        <v>708746</v>
      </c>
      <c r="B510" t="s">
        <v>160</v>
      </c>
      <c r="C510" t="s">
        <v>0</v>
      </c>
      <c r="D510" t="s">
        <v>1</v>
      </c>
      <c r="E510" s="14">
        <v>15</v>
      </c>
      <c r="F510" s="14">
        <v>7350</v>
      </c>
      <c r="G510" s="14">
        <v>1</v>
      </c>
      <c r="H510" s="13">
        <v>1.4299999480000001</v>
      </c>
      <c r="I510" s="14">
        <v>3</v>
      </c>
      <c r="J510" s="11">
        <f>I510*85</f>
        <v>255</v>
      </c>
      <c r="K510" s="11">
        <f>J510-H510</f>
        <v>253.57000005200001</v>
      </c>
      <c r="L510" s="10">
        <f>IF(F510=0,0,G510/F510)</f>
        <v>1.3605442176870748E-4</v>
      </c>
      <c r="M510" s="14">
        <f>IFERROR(ROUND(I510/G510,2),0)</f>
        <v>3</v>
      </c>
      <c r="N510" s="11">
        <f>IFERROR(H510/G510,0)</f>
        <v>1.4299999480000001</v>
      </c>
      <c r="O510" s="11">
        <f>IFERROR(H510/I510,0)</f>
        <v>0.47666664933333336</v>
      </c>
      <c r="P510" s="11">
        <f>IFERROR((J510-H510)/H510,0)</f>
        <v>177.32168480610324</v>
      </c>
    </row>
    <row r="511" spans="1:16">
      <c r="A511">
        <v>709183</v>
      </c>
      <c r="B511" t="s">
        <v>160</v>
      </c>
      <c r="C511" t="s">
        <v>2</v>
      </c>
      <c r="D511" t="s">
        <v>1</v>
      </c>
      <c r="E511" s="14">
        <v>16</v>
      </c>
      <c r="F511" s="14">
        <v>21026</v>
      </c>
      <c r="G511" s="14">
        <v>4</v>
      </c>
      <c r="H511" s="13">
        <v>4.6300001139999996</v>
      </c>
      <c r="I511" s="14">
        <v>3</v>
      </c>
      <c r="J511" s="11">
        <f>I511*85</f>
        <v>255</v>
      </c>
      <c r="K511" s="11">
        <f>J511-H511</f>
        <v>250.36999988599999</v>
      </c>
      <c r="L511" s="10">
        <f>G511/F511</f>
        <v>1.9024065442785123E-4</v>
      </c>
      <c r="M511" s="14">
        <f>IFERROR(ROUND(I511/G511,2),0)</f>
        <v>0.75</v>
      </c>
      <c r="N511" s="11">
        <f>IFERROR(H511/G511,0)</f>
        <v>1.1575000284999999</v>
      </c>
      <c r="O511" s="11">
        <f>IFERROR(H511/I511,0)</f>
        <v>1.5433333713333333</v>
      </c>
      <c r="P511" s="11">
        <f>IFERROR((J511-H511)/H511,0)</f>
        <v>54.0755925964109</v>
      </c>
    </row>
    <row r="512" spans="1:16">
      <c r="A512">
        <v>711623</v>
      </c>
      <c r="B512" t="s">
        <v>160</v>
      </c>
      <c r="C512" t="s">
        <v>3</v>
      </c>
      <c r="D512" t="s">
        <v>5</v>
      </c>
      <c r="E512" s="14">
        <v>15</v>
      </c>
      <c r="F512" s="14">
        <v>3812</v>
      </c>
      <c r="G512" s="14">
        <v>1</v>
      </c>
      <c r="H512" s="13">
        <v>1.1299999949999999</v>
      </c>
      <c r="I512" s="14">
        <v>3</v>
      </c>
      <c r="J512" s="11">
        <f>I512*85</f>
        <v>255</v>
      </c>
      <c r="K512" s="11">
        <f>J512-H512</f>
        <v>253.87000000500001</v>
      </c>
      <c r="L512" s="10">
        <f>G512/F512</f>
        <v>2.6232948583420777E-4</v>
      </c>
      <c r="M512" s="14">
        <f>IFERROR(ROUND(I512/G512,2),0)</f>
        <v>3</v>
      </c>
      <c r="N512" s="11">
        <f>IFERROR(H512/G512,0)</f>
        <v>1.1299999949999999</v>
      </c>
      <c r="O512" s="11">
        <f>IFERROR(H512/I512,0)</f>
        <v>0.37666666499999996</v>
      </c>
      <c r="P512" s="11">
        <f>IFERROR((J512-H512)/H512,0)</f>
        <v>224.66371781267134</v>
      </c>
    </row>
    <row r="513" spans="1:16">
      <c r="A513">
        <v>735298</v>
      </c>
      <c r="B513" t="s">
        <v>161</v>
      </c>
      <c r="C513" t="s">
        <v>4</v>
      </c>
      <c r="D513" t="s">
        <v>5</v>
      </c>
      <c r="E513" s="14">
        <v>29</v>
      </c>
      <c r="F513" s="14">
        <v>85412</v>
      </c>
      <c r="G513" s="14">
        <v>28</v>
      </c>
      <c r="H513" s="13">
        <v>38.63999999</v>
      </c>
      <c r="I513" s="14">
        <v>3</v>
      </c>
      <c r="J513" s="11">
        <f>I513*85</f>
        <v>255</v>
      </c>
      <c r="K513" s="11">
        <f>J513-H513</f>
        <v>216.36000000999999</v>
      </c>
      <c r="L513" s="10">
        <f>G513/F513</f>
        <v>3.2782278836697421E-4</v>
      </c>
      <c r="M513" s="14">
        <f>IFERROR(ROUND(I513/G513,2),0)</f>
        <v>0.11</v>
      </c>
      <c r="N513" s="11">
        <f>IFERROR(H513/G513,0)</f>
        <v>1.3799999996428571</v>
      </c>
      <c r="O513" s="11">
        <f>IFERROR(H513/I513,0)</f>
        <v>12.879999996666667</v>
      </c>
      <c r="P513" s="11">
        <f>IFERROR((J513-H513)/H513,0)</f>
        <v>5.5993788836954916</v>
      </c>
    </row>
    <row r="514" spans="1:16">
      <c r="A514">
        <v>738408</v>
      </c>
      <c r="B514" t="s">
        <v>161</v>
      </c>
      <c r="C514" t="s">
        <v>3</v>
      </c>
      <c r="D514" t="s">
        <v>5</v>
      </c>
      <c r="E514" s="14">
        <v>16</v>
      </c>
      <c r="F514" s="14">
        <v>20233</v>
      </c>
      <c r="G514" s="14">
        <v>4</v>
      </c>
      <c r="H514" s="13">
        <v>5.5900001530000001</v>
      </c>
      <c r="I514" s="14">
        <v>3</v>
      </c>
      <c r="J514" s="11">
        <f>I514*85</f>
        <v>255</v>
      </c>
      <c r="K514" s="11">
        <f>J514-H514</f>
        <v>249.40999984699999</v>
      </c>
      <c r="L514" s="10">
        <f>G514/F514</f>
        <v>1.9769683190826867E-4</v>
      </c>
      <c r="M514" s="14">
        <f>IFERROR(ROUND(I514/G514,2),0)</f>
        <v>0.75</v>
      </c>
      <c r="N514" s="11">
        <f>IFERROR(H514/G514,0)</f>
        <v>1.39750003825</v>
      </c>
      <c r="O514" s="11">
        <f>IFERROR(H514/I514,0)</f>
        <v>1.8633333843333333</v>
      </c>
      <c r="P514" s="11">
        <f>IFERROR((J514-H514)/H514,0)</f>
        <v>44.617172275594392</v>
      </c>
    </row>
    <row r="515" spans="1:16">
      <c r="A515">
        <v>738593</v>
      </c>
      <c r="B515" t="s">
        <v>161</v>
      </c>
      <c r="C515" t="s">
        <v>4</v>
      </c>
      <c r="D515" t="s">
        <v>5</v>
      </c>
      <c r="E515" s="14">
        <v>16</v>
      </c>
      <c r="F515" s="14">
        <v>92011</v>
      </c>
      <c r="G515" s="14">
        <v>27</v>
      </c>
      <c r="H515" s="13">
        <v>34.390000460000003</v>
      </c>
      <c r="I515" s="14">
        <v>3</v>
      </c>
      <c r="J515" s="11">
        <f>I515*85</f>
        <v>255</v>
      </c>
      <c r="K515" s="11">
        <f>J515-H515</f>
        <v>220.60999953999999</v>
      </c>
      <c r="L515" s="10">
        <f>G515/F515</f>
        <v>2.9344317527252176E-4</v>
      </c>
      <c r="M515" s="14">
        <f>IFERROR(ROUND(I515/G515,2),0)</f>
        <v>0.11</v>
      </c>
      <c r="N515" s="11">
        <f>IFERROR(H515/G515,0)</f>
        <v>1.2737037207407409</v>
      </c>
      <c r="O515" s="11">
        <f>IFERROR(H515/I515,0)</f>
        <v>11.463333486666668</v>
      </c>
      <c r="P515" s="11">
        <f>IFERROR((J515-H515)/H515,0)</f>
        <v>6.4149461061100546</v>
      </c>
    </row>
    <row r="516" spans="1:16">
      <c r="A516">
        <v>748235</v>
      </c>
      <c r="B516" t="s">
        <v>161</v>
      </c>
      <c r="C516" t="s">
        <v>4</v>
      </c>
      <c r="D516" t="s">
        <v>5</v>
      </c>
      <c r="E516" s="14">
        <v>16</v>
      </c>
      <c r="F516" s="14">
        <v>102695</v>
      </c>
      <c r="G516" s="14">
        <v>25</v>
      </c>
      <c r="H516" s="13">
        <v>39.42999983</v>
      </c>
      <c r="I516" s="14">
        <v>3</v>
      </c>
      <c r="J516" s="11">
        <f>I516*85</f>
        <v>255</v>
      </c>
      <c r="K516" s="11">
        <f>J516-H516</f>
        <v>215.57000017000001</v>
      </c>
      <c r="L516" s="10">
        <f>G516/F516</f>
        <v>2.4343931057987245E-4</v>
      </c>
      <c r="M516" s="14">
        <f>IFERROR(ROUND(I516/G516,2),0)</f>
        <v>0.12</v>
      </c>
      <c r="N516" s="11">
        <f>IFERROR(H516/G516,0)</f>
        <v>1.5771999932</v>
      </c>
      <c r="O516" s="11">
        <f>IFERROR(H516/I516,0)</f>
        <v>13.143333276666667</v>
      </c>
      <c r="P516" s="11">
        <f>IFERROR((J516-H516)/H516,0)</f>
        <v>5.467157014948433</v>
      </c>
    </row>
    <row r="517" spans="1:16">
      <c r="A517">
        <v>748294</v>
      </c>
      <c r="B517" t="s">
        <v>161</v>
      </c>
      <c r="C517" t="s">
        <v>4</v>
      </c>
      <c r="D517" t="s">
        <v>5</v>
      </c>
      <c r="E517" s="14">
        <v>27</v>
      </c>
      <c r="F517" s="14">
        <v>82827</v>
      </c>
      <c r="G517" s="14">
        <v>24</v>
      </c>
      <c r="H517" s="13">
        <v>47.930000309999997</v>
      </c>
      <c r="I517" s="14">
        <v>3</v>
      </c>
      <c r="J517" s="11">
        <f>I517*85</f>
        <v>255</v>
      </c>
      <c r="K517" s="11">
        <f>J517-H517</f>
        <v>207.06999969</v>
      </c>
      <c r="L517" s="10">
        <f>G517/F517</f>
        <v>2.8976058531638235E-4</v>
      </c>
      <c r="M517" s="14">
        <f>IFERROR(ROUND(I517/G517,2),0)</f>
        <v>0.13</v>
      </c>
      <c r="N517" s="11">
        <f>IFERROR(H517/G517,0)</f>
        <v>1.9970833462499999</v>
      </c>
      <c r="O517" s="11">
        <f>IFERROR(H517/I517,0)</f>
        <v>15.97666677</v>
      </c>
      <c r="P517" s="11">
        <f>IFERROR((J517-H517)/H517,0)</f>
        <v>4.3202586762094688</v>
      </c>
    </row>
    <row r="518" spans="1:16">
      <c r="A518">
        <v>776373</v>
      </c>
      <c r="B518" t="s">
        <v>161</v>
      </c>
      <c r="C518" t="s">
        <v>4</v>
      </c>
      <c r="D518" t="s">
        <v>5</v>
      </c>
      <c r="E518" s="14">
        <v>25</v>
      </c>
      <c r="F518" s="14">
        <v>10194</v>
      </c>
      <c r="G518" s="14">
        <v>4</v>
      </c>
      <c r="H518" s="13">
        <v>4.5900000329999999</v>
      </c>
      <c r="I518" s="14">
        <v>3</v>
      </c>
      <c r="J518" s="11">
        <f>I518*85</f>
        <v>255</v>
      </c>
      <c r="K518" s="11">
        <f>J518-H518</f>
        <v>250.409999967</v>
      </c>
      <c r="L518" s="10">
        <f>G518/F518</f>
        <v>3.9238767902687857E-4</v>
      </c>
      <c r="M518" s="14">
        <f>IFERROR(ROUND(I518/G518,2),0)</f>
        <v>0.75</v>
      </c>
      <c r="N518" s="11">
        <f>IFERROR(H518/G518,0)</f>
        <v>1.14750000825</v>
      </c>
      <c r="O518" s="11">
        <f>IFERROR(H518/I518,0)</f>
        <v>1.530000011</v>
      </c>
      <c r="P518" s="11">
        <f>IFERROR((J518-H518)/H518,0)</f>
        <v>54.555555156136535</v>
      </c>
    </row>
    <row r="519" spans="1:16">
      <c r="A519">
        <v>776643</v>
      </c>
      <c r="B519" t="s">
        <v>161</v>
      </c>
      <c r="C519" t="s">
        <v>0</v>
      </c>
      <c r="D519" t="s">
        <v>1</v>
      </c>
      <c r="E519" s="14">
        <v>15</v>
      </c>
      <c r="F519" s="14">
        <v>33491</v>
      </c>
      <c r="G519" s="14">
        <v>6</v>
      </c>
      <c r="H519" s="13">
        <v>10.56999969</v>
      </c>
      <c r="I519" s="14">
        <v>3</v>
      </c>
      <c r="J519" s="11">
        <f>I519*85</f>
        <v>255</v>
      </c>
      <c r="K519" s="11">
        <f>J519-H519</f>
        <v>244.43000031</v>
      </c>
      <c r="L519" s="10">
        <f>G519/F519</f>
        <v>1.7915260816338719E-4</v>
      </c>
      <c r="M519" s="14">
        <f>IFERROR(ROUND(I519/G519,2),0)</f>
        <v>0.5</v>
      </c>
      <c r="N519" s="11">
        <f>IFERROR(H519/G519,0)</f>
        <v>1.761666615</v>
      </c>
      <c r="O519" s="11">
        <f>IFERROR(H519/I519,0)</f>
        <v>3.52333323</v>
      </c>
      <c r="P519" s="11">
        <f>IFERROR((J519-H519)/H519,0)</f>
        <v>23.124882448317273</v>
      </c>
    </row>
    <row r="520" spans="1:16">
      <c r="A520">
        <v>776644</v>
      </c>
      <c r="B520" t="s">
        <v>161</v>
      </c>
      <c r="C520" t="s">
        <v>0</v>
      </c>
      <c r="D520" t="s">
        <v>1</v>
      </c>
      <c r="E520" s="14">
        <v>15</v>
      </c>
      <c r="F520" s="14">
        <v>20083</v>
      </c>
      <c r="G520" s="14">
        <v>2</v>
      </c>
      <c r="H520" s="13">
        <v>3.2000000480000002</v>
      </c>
      <c r="I520" s="14">
        <v>3</v>
      </c>
      <c r="J520" s="11">
        <f>I520*85</f>
        <v>255</v>
      </c>
      <c r="K520" s="11">
        <f>J520-H520</f>
        <v>251.79999995200001</v>
      </c>
      <c r="L520" s="10">
        <f>G520/F520</f>
        <v>9.9586715132201359E-5</v>
      </c>
      <c r="M520" s="14">
        <f>IFERROR(ROUND(I520/G520,2),0)</f>
        <v>1.5</v>
      </c>
      <c r="N520" s="11">
        <f>IFERROR(H520/G520,0)</f>
        <v>1.6000000240000001</v>
      </c>
      <c r="O520" s="11">
        <f>IFERROR(H520/I520,0)</f>
        <v>1.0666666826666666</v>
      </c>
      <c r="P520" s="11">
        <f>IFERROR((J520-H520)/H520,0)</f>
        <v>78.687498804687522</v>
      </c>
    </row>
    <row r="521" spans="1:16">
      <c r="A521">
        <v>776698</v>
      </c>
      <c r="B521" t="s">
        <v>161</v>
      </c>
      <c r="C521" t="s">
        <v>0</v>
      </c>
      <c r="D521" t="s">
        <v>1</v>
      </c>
      <c r="E521" s="14">
        <v>10</v>
      </c>
      <c r="F521" s="14">
        <v>12785</v>
      </c>
      <c r="G521" s="14">
        <v>3</v>
      </c>
      <c r="H521" s="13">
        <v>4.7300000190000002</v>
      </c>
      <c r="I521" s="14">
        <v>3</v>
      </c>
      <c r="J521" s="11">
        <f>I521*85</f>
        <v>255</v>
      </c>
      <c r="K521" s="11">
        <f>J521-H521</f>
        <v>250.26999998100001</v>
      </c>
      <c r="L521" s="10">
        <f>G521/F521</f>
        <v>2.3464998044583498E-4</v>
      </c>
      <c r="M521" s="14">
        <f>IFERROR(ROUND(I521/G521,2),0)</f>
        <v>1</v>
      </c>
      <c r="N521" s="11">
        <f>IFERROR(H521/G521,0)</f>
        <v>1.5766666730000001</v>
      </c>
      <c r="O521" s="11">
        <f>IFERROR(H521/I521,0)</f>
        <v>1.5766666730000001</v>
      </c>
      <c r="P521" s="11">
        <f>IFERROR((J521-H521)/H521,0)</f>
        <v>52.911204857439138</v>
      </c>
    </row>
    <row r="522" spans="1:16">
      <c r="A522">
        <v>777625</v>
      </c>
      <c r="B522" t="s">
        <v>161</v>
      </c>
      <c r="C522" t="s">
        <v>4</v>
      </c>
      <c r="D522" t="s">
        <v>1</v>
      </c>
      <c r="E522" s="14">
        <v>16</v>
      </c>
      <c r="F522" s="14">
        <v>59433</v>
      </c>
      <c r="G522" s="14">
        <v>12</v>
      </c>
      <c r="H522" s="13">
        <v>19.659999490000001</v>
      </c>
      <c r="I522" s="14">
        <v>3</v>
      </c>
      <c r="J522" s="11">
        <f>I522*85</f>
        <v>255</v>
      </c>
      <c r="K522" s="11">
        <f>J522-H522</f>
        <v>235.34000051000001</v>
      </c>
      <c r="L522" s="10">
        <f>G522/F522</f>
        <v>2.0190803089192874E-4</v>
      </c>
      <c r="M522" s="14">
        <f>IFERROR(ROUND(I522/G522,2),0)</f>
        <v>0.25</v>
      </c>
      <c r="N522" s="11">
        <f>IFERROR(H522/G522,0)</f>
        <v>1.6383332908333335</v>
      </c>
      <c r="O522" s="11">
        <f>IFERROR(H522/I522,0)</f>
        <v>6.5533331633333338</v>
      </c>
      <c r="P522" s="11">
        <f>IFERROR((J522-H522)/H522,0)</f>
        <v>11.970498810526673</v>
      </c>
    </row>
    <row r="523" spans="1:16">
      <c r="A523">
        <v>777794</v>
      </c>
      <c r="B523" t="s">
        <v>161</v>
      </c>
      <c r="C523" t="s">
        <v>0</v>
      </c>
      <c r="D523" t="s">
        <v>1</v>
      </c>
      <c r="E523" s="14">
        <v>18</v>
      </c>
      <c r="F523" s="14">
        <v>13473</v>
      </c>
      <c r="G523" s="14">
        <v>3</v>
      </c>
      <c r="H523" s="13">
        <v>2.619999945</v>
      </c>
      <c r="I523" s="14">
        <v>3</v>
      </c>
      <c r="J523" s="11">
        <f>I523*85</f>
        <v>255</v>
      </c>
      <c r="K523" s="11">
        <f>J523-H523</f>
        <v>252.38000005500001</v>
      </c>
      <c r="L523" s="10">
        <f>G523/F523</f>
        <v>2.2266755733689602E-4</v>
      </c>
      <c r="M523" s="14">
        <f>IFERROR(ROUND(I523/G523,2),0)</f>
        <v>1</v>
      </c>
      <c r="N523" s="11">
        <f>IFERROR(H523/G523,0)</f>
        <v>0.873333315</v>
      </c>
      <c r="O523" s="11">
        <f>IFERROR(H523/I523,0)</f>
        <v>0.873333315</v>
      </c>
      <c r="P523" s="11">
        <f>IFERROR((J523-H523)/H523,0)</f>
        <v>96.328246317959369</v>
      </c>
    </row>
    <row r="524" spans="1:16">
      <c r="A524">
        <v>778161</v>
      </c>
      <c r="B524" t="s">
        <v>161</v>
      </c>
      <c r="C524" t="s">
        <v>0</v>
      </c>
      <c r="D524" t="s">
        <v>1</v>
      </c>
      <c r="E524" s="14">
        <v>28</v>
      </c>
      <c r="F524" s="14">
        <v>17954</v>
      </c>
      <c r="G524" s="14">
        <v>6</v>
      </c>
      <c r="H524" s="13">
        <v>7.5400001999999997</v>
      </c>
      <c r="I524" s="14">
        <v>3</v>
      </c>
      <c r="J524" s="11">
        <f>I524*85</f>
        <v>255</v>
      </c>
      <c r="K524" s="11">
        <f>J524-H524</f>
        <v>247.45999979999999</v>
      </c>
      <c r="L524" s="10">
        <f>G524/F524</f>
        <v>3.3418736771750028E-4</v>
      </c>
      <c r="M524" s="14">
        <f>IFERROR(ROUND(I524/G524,2),0)</f>
        <v>0.5</v>
      </c>
      <c r="N524" s="11">
        <f>IFERROR(H524/G524,0)</f>
        <v>1.2566667</v>
      </c>
      <c r="O524" s="11">
        <f>IFERROR(H524/I524,0)</f>
        <v>2.5133334000000001</v>
      </c>
      <c r="P524" s="11">
        <f>IFERROR((J524-H524)/H524,0)</f>
        <v>32.819627750142502</v>
      </c>
    </row>
    <row r="525" spans="1:16">
      <c r="A525">
        <v>779644</v>
      </c>
      <c r="B525" t="s">
        <v>161</v>
      </c>
      <c r="C525" t="s">
        <v>0</v>
      </c>
      <c r="D525" t="s">
        <v>5</v>
      </c>
      <c r="E525" s="14">
        <v>16</v>
      </c>
      <c r="F525" s="14">
        <v>51816</v>
      </c>
      <c r="G525" s="14">
        <v>8</v>
      </c>
      <c r="H525" s="13">
        <v>10.229999899999999</v>
      </c>
      <c r="I525" s="14">
        <v>3</v>
      </c>
      <c r="J525" s="11">
        <f>I525*85</f>
        <v>255</v>
      </c>
      <c r="K525" s="11">
        <f>J525-H525</f>
        <v>244.7700001</v>
      </c>
      <c r="L525" s="10">
        <f>G525/F525</f>
        <v>1.5439246564767639E-4</v>
      </c>
      <c r="M525" s="14">
        <f>IFERROR(ROUND(I525/G525,2),0)</f>
        <v>0.38</v>
      </c>
      <c r="N525" s="11">
        <f>IFERROR(H525/G525,0)</f>
        <v>1.2787499874999999</v>
      </c>
      <c r="O525" s="11">
        <f>IFERROR(H525/I525,0)</f>
        <v>3.4099999666666663</v>
      </c>
      <c r="P525" s="11">
        <f>IFERROR((J525-H525)/H525,0)</f>
        <v>23.926686460671423</v>
      </c>
    </row>
    <row r="526" spans="1:16">
      <c r="A526">
        <v>780318</v>
      </c>
      <c r="B526" t="s">
        <v>161</v>
      </c>
      <c r="C526" t="s">
        <v>4</v>
      </c>
      <c r="D526" t="s">
        <v>5</v>
      </c>
      <c r="E526" s="14">
        <v>29</v>
      </c>
      <c r="F526" s="14">
        <v>162341</v>
      </c>
      <c r="G526" s="14">
        <v>56</v>
      </c>
      <c r="H526" s="13">
        <v>77.079999689999994</v>
      </c>
      <c r="I526" s="14">
        <v>3</v>
      </c>
      <c r="J526" s="11">
        <f>I526*85</f>
        <v>255</v>
      </c>
      <c r="K526" s="11">
        <f>J526-H526</f>
        <v>177.92000031000001</v>
      </c>
      <c r="L526" s="10">
        <f>G526/F526</f>
        <v>3.4495290776821627E-4</v>
      </c>
      <c r="M526" s="14">
        <f>IFERROR(ROUND(I526/G526,2),0)</f>
        <v>0.05</v>
      </c>
      <c r="N526" s="11">
        <f>IFERROR(H526/G526,0)</f>
        <v>1.376428565892857</v>
      </c>
      <c r="O526" s="11">
        <f>IFERROR(H526/I526,0)</f>
        <v>25.693333229999997</v>
      </c>
      <c r="P526" s="11">
        <f>IFERROR((J526-H526)/H526,0)</f>
        <v>2.3082511809231692</v>
      </c>
    </row>
    <row r="527" spans="1:16">
      <c r="A527">
        <v>780511</v>
      </c>
      <c r="B527" t="s">
        <v>161</v>
      </c>
      <c r="C527" t="s">
        <v>0</v>
      </c>
      <c r="D527" t="s">
        <v>5</v>
      </c>
      <c r="E527" s="14">
        <v>63</v>
      </c>
      <c r="F527" s="14">
        <v>6175</v>
      </c>
      <c r="G527" s="14">
        <v>1</v>
      </c>
      <c r="H527" s="13">
        <v>1.3700000050000001</v>
      </c>
      <c r="I527" s="14">
        <v>3</v>
      </c>
      <c r="J527" s="11">
        <f>I527*85</f>
        <v>255</v>
      </c>
      <c r="K527" s="11">
        <f>J527-H527</f>
        <v>253.62999999499999</v>
      </c>
      <c r="L527" s="10">
        <f>G527/F527</f>
        <v>1.6194331983805668E-4</v>
      </c>
      <c r="M527" s="14">
        <f>IFERROR(ROUND(I527/G527,2),0)</f>
        <v>3</v>
      </c>
      <c r="N527" s="11">
        <f>IFERROR(H527/G527,0)</f>
        <v>1.3700000050000001</v>
      </c>
      <c r="O527" s="11">
        <f>IFERROR(H527/I527,0)</f>
        <v>0.45666666833333336</v>
      </c>
      <c r="P527" s="11">
        <f>IFERROR((J527-H527)/H527,0)</f>
        <v>185.13138618200222</v>
      </c>
    </row>
    <row r="528" spans="1:16">
      <c r="A528">
        <v>781327</v>
      </c>
      <c r="B528" t="s">
        <v>161</v>
      </c>
      <c r="C528" t="s">
        <v>2</v>
      </c>
      <c r="D528" t="s">
        <v>5</v>
      </c>
      <c r="E528" s="14">
        <v>29</v>
      </c>
      <c r="F528" s="14">
        <v>164754</v>
      </c>
      <c r="G528" s="14">
        <v>49</v>
      </c>
      <c r="H528" s="13">
        <v>67.97999978</v>
      </c>
      <c r="I528" s="14">
        <v>3</v>
      </c>
      <c r="J528" s="11">
        <f>I528*85</f>
        <v>255</v>
      </c>
      <c r="K528" s="11">
        <f>J528-H528</f>
        <v>187.02000021999999</v>
      </c>
      <c r="L528" s="10">
        <f>G528/F528</f>
        <v>2.9741311288345048E-4</v>
      </c>
      <c r="M528" s="14">
        <f>IFERROR(ROUND(I528/G528,2),0)</f>
        <v>0.06</v>
      </c>
      <c r="N528" s="11">
        <f>IFERROR(H528/G528,0)</f>
        <v>1.3873469342857143</v>
      </c>
      <c r="O528" s="11">
        <f>IFERROR(H528/I528,0)</f>
        <v>22.659999926666668</v>
      </c>
      <c r="P528" s="11">
        <f>IFERROR((J528-H528)/H528,0)</f>
        <v>2.7511032778058651</v>
      </c>
    </row>
    <row r="529" spans="1:16">
      <c r="A529">
        <v>782135</v>
      </c>
      <c r="B529" t="s">
        <v>161</v>
      </c>
      <c r="C529" t="s">
        <v>0</v>
      </c>
      <c r="D529" t="s">
        <v>5</v>
      </c>
      <c r="E529" s="14">
        <v>16</v>
      </c>
      <c r="F529" s="14">
        <v>25267</v>
      </c>
      <c r="G529" s="14">
        <v>4</v>
      </c>
      <c r="H529" s="13">
        <v>4.9400000569999998</v>
      </c>
      <c r="I529" s="14">
        <v>3</v>
      </c>
      <c r="J529" s="11">
        <f>I529*85</f>
        <v>255</v>
      </c>
      <c r="K529" s="11">
        <f>J529-H529</f>
        <v>250.05999994300001</v>
      </c>
      <c r="L529" s="10">
        <f>G529/F529</f>
        <v>1.5830925713381091E-4</v>
      </c>
      <c r="M529" s="14">
        <f>IFERROR(ROUND(I529/G529,2),0)</f>
        <v>0.75</v>
      </c>
      <c r="N529" s="11">
        <f>IFERROR(H529/G529,0)</f>
        <v>1.2350000142499999</v>
      </c>
      <c r="O529" s="11">
        <f>IFERROR(H529/I529,0)</f>
        <v>1.6466666856666665</v>
      </c>
      <c r="P529" s="11">
        <f>IFERROR((J529-H529)/H529,0)</f>
        <v>50.619432602771731</v>
      </c>
    </row>
    <row r="530" spans="1:16">
      <c r="A530">
        <v>950078</v>
      </c>
      <c r="B530" t="s">
        <v>161</v>
      </c>
      <c r="C530" t="s">
        <v>0</v>
      </c>
      <c r="D530" t="s">
        <v>1</v>
      </c>
      <c r="E530" s="14">
        <v>16</v>
      </c>
      <c r="F530" s="14">
        <v>12396</v>
      </c>
      <c r="G530" s="14">
        <v>2</v>
      </c>
      <c r="H530" s="13">
        <v>3.210000038</v>
      </c>
      <c r="I530" s="14">
        <v>3</v>
      </c>
      <c r="J530" s="11">
        <f>I530*85</f>
        <v>255</v>
      </c>
      <c r="K530" s="11">
        <f>J530-H530</f>
        <v>251.789999962</v>
      </c>
      <c r="L530" s="10">
        <f>G530/F530</f>
        <v>1.6134236850596966E-4</v>
      </c>
      <c r="M530" s="14">
        <f>IFERROR(ROUND(I530/G530,2),0)</f>
        <v>1.5</v>
      </c>
      <c r="N530" s="11">
        <f>IFERROR(H530/G530,0)</f>
        <v>1.605000019</v>
      </c>
      <c r="O530" s="11">
        <f>IFERROR(H530/I530,0)</f>
        <v>1.0700000126666667</v>
      </c>
      <c r="P530" s="11">
        <f>IFERROR((J530-H530)/H530,0)</f>
        <v>78.439251396046245</v>
      </c>
    </row>
    <row r="531" spans="1:16">
      <c r="A531">
        <v>951202</v>
      </c>
      <c r="B531" t="s">
        <v>161</v>
      </c>
      <c r="C531" t="s">
        <v>4</v>
      </c>
      <c r="D531" t="s">
        <v>5</v>
      </c>
      <c r="E531" s="14">
        <v>26</v>
      </c>
      <c r="F531" s="14">
        <v>5307</v>
      </c>
      <c r="G531" s="14">
        <v>3</v>
      </c>
      <c r="H531" s="13">
        <v>4.2899999619999996</v>
      </c>
      <c r="I531" s="14">
        <v>3</v>
      </c>
      <c r="J531" s="11">
        <f>I531*85</f>
        <v>255</v>
      </c>
      <c r="K531" s="11">
        <f>J531-H531</f>
        <v>250.710000038</v>
      </c>
      <c r="L531" s="10">
        <f>G531/F531</f>
        <v>5.6529112492933857E-4</v>
      </c>
      <c r="M531" s="14">
        <f>IFERROR(ROUND(I531/G531,2),0)</f>
        <v>1</v>
      </c>
      <c r="N531" s="11">
        <f>IFERROR(H531/G531,0)</f>
        <v>1.4299999873333331</v>
      </c>
      <c r="O531" s="11">
        <f>IFERROR(H531/I531,0)</f>
        <v>1.4299999873333331</v>
      </c>
      <c r="P531" s="11">
        <f>IFERROR((J531-H531)/H531,0)</f>
        <v>58.440559967072566</v>
      </c>
    </row>
    <row r="532" spans="1:16">
      <c r="A532">
        <v>951285</v>
      </c>
      <c r="B532" t="s">
        <v>161</v>
      </c>
      <c r="C532" t="s">
        <v>2</v>
      </c>
      <c r="D532" t="s">
        <v>5</v>
      </c>
      <c r="E532" s="14">
        <v>16</v>
      </c>
      <c r="F532" s="14">
        <v>9297</v>
      </c>
      <c r="G532" s="14">
        <v>2</v>
      </c>
      <c r="H532" s="13">
        <v>2.619999886</v>
      </c>
      <c r="I532" s="14">
        <v>3</v>
      </c>
      <c r="J532" s="11">
        <f>I532*85</f>
        <v>255</v>
      </c>
      <c r="K532" s="11">
        <f>J532-H532</f>
        <v>252.38000011400001</v>
      </c>
      <c r="L532" s="10">
        <f>G532/F532</f>
        <v>2.1512315800795956E-4</v>
      </c>
      <c r="M532" s="14">
        <f>IFERROR(ROUND(I532/G532,2),0)</f>
        <v>1.5</v>
      </c>
      <c r="N532" s="11">
        <f>IFERROR(H532/G532,0)</f>
        <v>1.309999943</v>
      </c>
      <c r="O532" s="11">
        <f>IFERROR(H532/I532,0)</f>
        <v>0.87333329533333337</v>
      </c>
      <c r="P532" s="11">
        <f>IFERROR((J532-H532)/H532,0)</f>
        <v>96.328248509702419</v>
      </c>
    </row>
    <row r="533" spans="1:16">
      <c r="A533">
        <v>1121754</v>
      </c>
      <c r="B533" t="s">
        <v>162</v>
      </c>
      <c r="C533" t="s">
        <v>0</v>
      </c>
      <c r="D533" t="s">
        <v>5</v>
      </c>
      <c r="E533" s="14">
        <v>16</v>
      </c>
      <c r="F533" s="14">
        <v>328272</v>
      </c>
      <c r="G533" s="14">
        <v>35</v>
      </c>
      <c r="H533" s="13">
        <v>55.990000250000001</v>
      </c>
      <c r="I533" s="14">
        <v>3</v>
      </c>
      <c r="J533" s="11">
        <f>I533*85</f>
        <v>255</v>
      </c>
      <c r="K533" s="11">
        <f>J533-H533</f>
        <v>199.00999974999999</v>
      </c>
      <c r="L533" s="10">
        <f>G533/F533</f>
        <v>1.0661890139883998E-4</v>
      </c>
      <c r="M533" s="14">
        <f>IFERROR(ROUND(I533/G533,2),0)</f>
        <v>0.09</v>
      </c>
      <c r="N533" s="11">
        <f>IFERROR(H533/G533,0)</f>
        <v>1.5997142928571428</v>
      </c>
      <c r="O533" s="11">
        <f>IFERROR(H533/I533,0)</f>
        <v>18.663333416666667</v>
      </c>
      <c r="P533" s="11">
        <f>IFERROR((J533-H533)/H533,0)</f>
        <v>3.5543846912199286</v>
      </c>
    </row>
    <row r="534" spans="1:16">
      <c r="A534">
        <v>1121782</v>
      </c>
      <c r="B534" t="s">
        <v>162</v>
      </c>
      <c r="C534" t="s">
        <v>0</v>
      </c>
      <c r="D534" t="s">
        <v>5</v>
      </c>
      <c r="E534" s="14">
        <v>22</v>
      </c>
      <c r="F534" s="14">
        <v>26340</v>
      </c>
      <c r="G534" s="14">
        <v>3</v>
      </c>
      <c r="H534" s="13">
        <v>4.2200000290000004</v>
      </c>
      <c r="I534" s="14">
        <v>3</v>
      </c>
      <c r="J534" s="11">
        <f>I534*85</f>
        <v>255</v>
      </c>
      <c r="K534" s="11">
        <f>J534-H534</f>
        <v>250.779999971</v>
      </c>
      <c r="L534" s="10">
        <f>G534/F534</f>
        <v>1.1389521640091117E-4</v>
      </c>
      <c r="M534" s="14">
        <f>IFERROR(ROUND(I534/G534,2),0)</f>
        <v>1</v>
      </c>
      <c r="N534" s="11">
        <f>IFERROR(H534/G534,0)</f>
        <v>1.4066666763333335</v>
      </c>
      <c r="O534" s="11">
        <f>IFERROR(H534/I534,0)</f>
        <v>1.4066666763333335</v>
      </c>
      <c r="P534" s="11">
        <f>IFERROR((J534-H534)/H534,0)</f>
        <v>59.426539869106712</v>
      </c>
    </row>
    <row r="535" spans="1:16">
      <c r="A535">
        <v>1121860</v>
      </c>
      <c r="B535" t="s">
        <v>162</v>
      </c>
      <c r="C535" t="s">
        <v>0</v>
      </c>
      <c r="D535" t="s">
        <v>5</v>
      </c>
      <c r="E535" s="14">
        <v>64</v>
      </c>
      <c r="F535" s="14">
        <v>254344</v>
      </c>
      <c r="G535" s="14">
        <v>35</v>
      </c>
      <c r="H535" s="13">
        <v>56.169999959999998</v>
      </c>
      <c r="I535" s="14">
        <v>3</v>
      </c>
      <c r="J535" s="11">
        <f>I535*85</f>
        <v>255</v>
      </c>
      <c r="K535" s="11">
        <f>J535-H535</f>
        <v>198.83000004000002</v>
      </c>
      <c r="L535" s="10">
        <f>G535/F535</f>
        <v>1.3760890762117448E-4</v>
      </c>
      <c r="M535" s="14">
        <f>IFERROR(ROUND(I535/G535,2),0)</f>
        <v>0.09</v>
      </c>
      <c r="N535" s="11">
        <f>IFERROR(H535/G535,0)</f>
        <v>1.6048571417142856</v>
      </c>
      <c r="O535" s="11">
        <f>IFERROR(H535/I535,0)</f>
        <v>18.723333319999998</v>
      </c>
      <c r="P535" s="11">
        <f>IFERROR((J535-H535)/H535,0)</f>
        <v>3.5397899266795729</v>
      </c>
    </row>
    <row r="536" spans="1:16">
      <c r="A536">
        <v>1121861</v>
      </c>
      <c r="B536" t="s">
        <v>162</v>
      </c>
      <c r="C536" t="s">
        <v>0</v>
      </c>
      <c r="D536" t="s">
        <v>5</v>
      </c>
      <c r="E536" s="14">
        <v>64</v>
      </c>
      <c r="F536" s="14">
        <v>157705</v>
      </c>
      <c r="G536" s="14">
        <v>23</v>
      </c>
      <c r="H536" s="13">
        <v>39.230000259999997</v>
      </c>
      <c r="I536" s="14">
        <v>3</v>
      </c>
      <c r="J536" s="11">
        <f>I536*85</f>
        <v>255</v>
      </c>
      <c r="K536" s="11">
        <f>J536-H536</f>
        <v>215.76999974</v>
      </c>
      <c r="L536" s="10">
        <f>G536/F536</f>
        <v>1.4584192004058209E-4</v>
      </c>
      <c r="M536" s="14">
        <f>IFERROR(ROUND(I536/G536,2),0)</f>
        <v>0.13</v>
      </c>
      <c r="N536" s="11">
        <f>IFERROR(H536/G536,0)</f>
        <v>1.7056521852173911</v>
      </c>
      <c r="O536" s="11">
        <f>IFERROR(H536/I536,0)</f>
        <v>13.076666753333333</v>
      </c>
      <c r="P536" s="11">
        <f>IFERROR((J536-H536)/H536,0)</f>
        <v>5.5001274103993598</v>
      </c>
    </row>
    <row r="537" spans="1:16">
      <c r="A537">
        <v>1121890</v>
      </c>
      <c r="B537" t="s">
        <v>162</v>
      </c>
      <c r="C537" t="s">
        <v>2</v>
      </c>
      <c r="D537" t="s">
        <v>5</v>
      </c>
      <c r="E537" s="14">
        <v>10</v>
      </c>
      <c r="F537" s="14">
        <v>127865</v>
      </c>
      <c r="G537" s="14">
        <v>28</v>
      </c>
      <c r="H537" s="13">
        <v>38.029999609999997</v>
      </c>
      <c r="I537" s="14">
        <v>3</v>
      </c>
      <c r="J537" s="11">
        <f>I537*85</f>
        <v>255</v>
      </c>
      <c r="K537" s="11">
        <f>J537-H537</f>
        <v>216.97000039</v>
      </c>
      <c r="L537" s="10">
        <f>G537/F537</f>
        <v>2.1898095647753489E-4</v>
      </c>
      <c r="M537" s="14">
        <f>IFERROR(ROUND(I537/G537,2),0)</f>
        <v>0.11</v>
      </c>
      <c r="N537" s="11">
        <f>IFERROR(H537/G537,0)</f>
        <v>1.3582142717857142</v>
      </c>
      <c r="O537" s="11">
        <f>IFERROR(H537/I537,0)</f>
        <v>12.676666536666666</v>
      </c>
      <c r="P537" s="11">
        <f>IFERROR((J537-H537)/H537,0)</f>
        <v>5.7052327797801947</v>
      </c>
    </row>
    <row r="538" spans="1:16">
      <c r="A538">
        <v>1121907</v>
      </c>
      <c r="B538" t="s">
        <v>162</v>
      </c>
      <c r="C538" t="s">
        <v>2</v>
      </c>
      <c r="D538" t="s">
        <v>5</v>
      </c>
      <c r="E538" s="14">
        <v>18</v>
      </c>
      <c r="F538" s="14">
        <v>98057</v>
      </c>
      <c r="G538" s="14">
        <v>20</v>
      </c>
      <c r="H538" s="13">
        <v>31.009999629999999</v>
      </c>
      <c r="I538" s="14">
        <v>3</v>
      </c>
      <c r="J538" s="11">
        <f>I538*85</f>
        <v>255</v>
      </c>
      <c r="K538" s="11">
        <f>J538-H538</f>
        <v>223.99000036999999</v>
      </c>
      <c r="L538" s="10">
        <f>G538/F538</f>
        <v>2.0396300111159835E-4</v>
      </c>
      <c r="M538" s="14">
        <f>IFERROR(ROUND(I538/G538,2),0)</f>
        <v>0.15</v>
      </c>
      <c r="N538" s="11">
        <f>IFERROR(H538/G538,0)</f>
        <v>1.5504999815</v>
      </c>
      <c r="O538" s="11">
        <f>IFERROR(H538/I538,0)</f>
        <v>10.336666543333333</v>
      </c>
      <c r="P538" s="11">
        <f>IFERROR((J538-H538)/H538,0)</f>
        <v>7.2231539194636225</v>
      </c>
    </row>
    <row r="539" spans="1:16">
      <c r="A539">
        <v>1121917</v>
      </c>
      <c r="B539" t="s">
        <v>162</v>
      </c>
      <c r="C539" t="s">
        <v>2</v>
      </c>
      <c r="D539" t="s">
        <v>5</v>
      </c>
      <c r="E539" s="14">
        <v>19</v>
      </c>
      <c r="F539" s="14">
        <v>238735</v>
      </c>
      <c r="G539" s="14">
        <v>56</v>
      </c>
      <c r="H539" s="13">
        <v>84.659998889999997</v>
      </c>
      <c r="I539" s="14">
        <v>3</v>
      </c>
      <c r="J539" s="11">
        <f>I539*85</f>
        <v>255</v>
      </c>
      <c r="K539" s="11">
        <f>J539-H539</f>
        <v>170.34000111</v>
      </c>
      <c r="L539" s="10">
        <f>G539/F539</f>
        <v>2.3456971118604309E-4</v>
      </c>
      <c r="M539" s="14">
        <f>IFERROR(ROUND(I539/G539,2),0)</f>
        <v>0.05</v>
      </c>
      <c r="N539" s="11">
        <f>IFERROR(H539/G539,0)</f>
        <v>1.5117856944642856</v>
      </c>
      <c r="O539" s="11">
        <f>IFERROR(H539/I539,0)</f>
        <v>28.21999963</v>
      </c>
      <c r="P539" s="11">
        <f>IFERROR((J539-H539)/H539,0)</f>
        <v>2.0120482322628579</v>
      </c>
    </row>
    <row r="540" spans="1:16">
      <c r="A540">
        <v>1121925</v>
      </c>
      <c r="B540" t="s">
        <v>162</v>
      </c>
      <c r="C540" t="s">
        <v>2</v>
      </c>
      <c r="D540" t="s">
        <v>5</v>
      </c>
      <c r="E540" s="14">
        <v>21</v>
      </c>
      <c r="F540" s="14">
        <v>244074</v>
      </c>
      <c r="G540" s="14">
        <v>57</v>
      </c>
      <c r="H540" s="13">
        <v>84.510000230000003</v>
      </c>
      <c r="I540" s="14">
        <v>3</v>
      </c>
      <c r="J540" s="11">
        <f>I540*85</f>
        <v>255</v>
      </c>
      <c r="K540" s="11">
        <f>J540-H540</f>
        <v>170.48999977</v>
      </c>
      <c r="L540" s="10">
        <f>G540/F540</f>
        <v>2.3353573096683791E-4</v>
      </c>
      <c r="M540" s="14">
        <f>IFERROR(ROUND(I540/G540,2),0)</f>
        <v>0.05</v>
      </c>
      <c r="N540" s="11">
        <f>IFERROR(H540/G540,0)</f>
        <v>1.4826315829824561</v>
      </c>
      <c r="O540" s="11">
        <f>IFERROR(H540/I540,0)</f>
        <v>28.170000076666668</v>
      </c>
      <c r="P540" s="11">
        <f>IFERROR((J540-H540)/H540,0)</f>
        <v>2.0173943829842536</v>
      </c>
    </row>
    <row r="541" spans="1:16">
      <c r="A541">
        <v>1121953</v>
      </c>
      <c r="B541" t="s">
        <v>162</v>
      </c>
      <c r="C541" t="s">
        <v>2</v>
      </c>
      <c r="D541" t="s">
        <v>5</v>
      </c>
      <c r="E541" s="14">
        <v>25</v>
      </c>
      <c r="F541" s="14">
        <v>8341</v>
      </c>
      <c r="G541" s="14">
        <v>1</v>
      </c>
      <c r="H541" s="13">
        <v>1.6399999860000001</v>
      </c>
      <c r="I541" s="14">
        <v>3</v>
      </c>
      <c r="J541" s="11">
        <f>I541*85</f>
        <v>255</v>
      </c>
      <c r="K541" s="11">
        <f>J541-H541</f>
        <v>253.36000001400001</v>
      </c>
      <c r="L541" s="10">
        <f>G541/F541</f>
        <v>1.1988970147464332E-4</v>
      </c>
      <c r="M541" s="14">
        <f>IFERROR(ROUND(I541/G541,2),0)</f>
        <v>3</v>
      </c>
      <c r="N541" s="11">
        <f>IFERROR(H541/G541,0)</f>
        <v>1.6399999860000001</v>
      </c>
      <c r="O541" s="11">
        <f>IFERROR(H541/I541,0)</f>
        <v>0.54666666200000003</v>
      </c>
      <c r="P541" s="11">
        <f>IFERROR((J541-H541)/H541,0)</f>
        <v>154.48780620538372</v>
      </c>
    </row>
    <row r="542" spans="1:16">
      <c r="A542">
        <v>1121962</v>
      </c>
      <c r="B542" t="s">
        <v>162</v>
      </c>
      <c r="C542" t="s">
        <v>2</v>
      </c>
      <c r="D542" t="s">
        <v>5</v>
      </c>
      <c r="E542" s="14">
        <v>27</v>
      </c>
      <c r="F542" s="14">
        <v>1050947</v>
      </c>
      <c r="G542" s="14">
        <v>230</v>
      </c>
      <c r="H542" s="13">
        <v>350.50999569999999</v>
      </c>
      <c r="I542" s="14">
        <v>3</v>
      </c>
      <c r="J542" s="11">
        <f>I542*85</f>
        <v>255</v>
      </c>
      <c r="K542" s="11">
        <f>J542-H542</f>
        <v>-95.50999569999999</v>
      </c>
      <c r="L542" s="10">
        <f>G542/F542</f>
        <v>2.1885023697674574E-4</v>
      </c>
      <c r="M542" s="14">
        <f>IFERROR(ROUND(I542/G542,2),0)</f>
        <v>0.01</v>
      </c>
      <c r="N542" s="11">
        <f>IFERROR(H542/G542,0)</f>
        <v>1.5239565030434783</v>
      </c>
      <c r="O542" s="11">
        <f>IFERROR(H542/I542,0)</f>
        <v>116.83666523333333</v>
      </c>
      <c r="P542" s="11">
        <f>IFERROR((J542-H542)/H542,0)</f>
        <v>-0.27248865045705167</v>
      </c>
    </row>
    <row r="543" spans="1:16">
      <c r="A543">
        <v>1121983</v>
      </c>
      <c r="B543" t="s">
        <v>162</v>
      </c>
      <c r="C543" t="s">
        <v>2</v>
      </c>
      <c r="D543" t="s">
        <v>5</v>
      </c>
      <c r="E543" s="14">
        <v>30</v>
      </c>
      <c r="F543" s="14">
        <v>105399</v>
      </c>
      <c r="G543" s="14">
        <v>22</v>
      </c>
      <c r="H543" s="13">
        <v>33.199999329999997</v>
      </c>
      <c r="I543" s="14">
        <v>3</v>
      </c>
      <c r="J543" s="11">
        <f>I543*85</f>
        <v>255</v>
      </c>
      <c r="K543" s="11">
        <f>J543-H543</f>
        <v>221.80000067</v>
      </c>
      <c r="L543" s="10">
        <f>G543/F543</f>
        <v>2.0873063311796126E-4</v>
      </c>
      <c r="M543" s="14">
        <f>IFERROR(ROUND(I543/G543,2),0)</f>
        <v>0.14000000000000001</v>
      </c>
      <c r="N543" s="11">
        <f>IFERROR(H543/G543,0)</f>
        <v>1.5090908786363635</v>
      </c>
      <c r="O543" s="11">
        <f>IFERROR(H543/I543,0)</f>
        <v>11.066666443333332</v>
      </c>
      <c r="P543" s="11">
        <f>IFERROR((J543-H543)/H543,0)</f>
        <v>6.6807230465688088</v>
      </c>
    </row>
    <row r="544" spans="1:16">
      <c r="A544">
        <v>1122027</v>
      </c>
      <c r="B544" t="s">
        <v>162</v>
      </c>
      <c r="C544" t="s">
        <v>2</v>
      </c>
      <c r="D544" t="s">
        <v>5</v>
      </c>
      <c r="E544" s="14">
        <v>7</v>
      </c>
      <c r="F544" s="14">
        <v>128616</v>
      </c>
      <c r="G544" s="14">
        <v>33</v>
      </c>
      <c r="H544" s="13">
        <v>48.549999479999997</v>
      </c>
      <c r="I544" s="14">
        <v>3</v>
      </c>
      <c r="J544" s="11">
        <f>I544*85</f>
        <v>255</v>
      </c>
      <c r="K544" s="11">
        <f>J544-H544</f>
        <v>206.45000052</v>
      </c>
      <c r="L544" s="10">
        <f>G544/F544</f>
        <v>2.5657771972382906E-4</v>
      </c>
      <c r="M544" s="14">
        <f>IFERROR(ROUND(I544/G544,2),0)</f>
        <v>0.09</v>
      </c>
      <c r="N544" s="11">
        <f>IFERROR(H544/G544,0)</f>
        <v>1.4712121054545453</v>
      </c>
      <c r="O544" s="11">
        <f>IFERROR(H544/I544,0)</f>
        <v>16.18333316</v>
      </c>
      <c r="P544" s="11">
        <f>IFERROR((J544-H544)/H544,0)</f>
        <v>4.25231725501967</v>
      </c>
    </row>
    <row r="545" spans="1:16">
      <c r="A545">
        <v>1122039</v>
      </c>
      <c r="B545" t="s">
        <v>162</v>
      </c>
      <c r="C545" t="s">
        <v>3</v>
      </c>
      <c r="D545" t="s">
        <v>5</v>
      </c>
      <c r="E545" s="14">
        <v>10</v>
      </c>
      <c r="F545" s="14">
        <v>258954</v>
      </c>
      <c r="G545" s="14">
        <v>61</v>
      </c>
      <c r="H545" s="13">
        <v>82.279999020000005</v>
      </c>
      <c r="I545" s="14">
        <v>3</v>
      </c>
      <c r="J545" s="11">
        <f>I545*85</f>
        <v>255</v>
      </c>
      <c r="K545" s="11">
        <f>J545-H545</f>
        <v>172.72000098000001</v>
      </c>
      <c r="L545" s="10">
        <f>G545/F545</f>
        <v>2.3556307297821233E-4</v>
      </c>
      <c r="M545" s="14">
        <f>IFERROR(ROUND(I545/G545,2),0)</f>
        <v>0.05</v>
      </c>
      <c r="N545" s="11">
        <f>IFERROR(H545/G545,0)</f>
        <v>1.3488524429508197</v>
      </c>
      <c r="O545" s="11">
        <f>IFERROR(H545/I545,0)</f>
        <v>27.426666340000001</v>
      </c>
      <c r="P545" s="11">
        <f>IFERROR((J545-H545)/H545,0)</f>
        <v>2.0991735906318683</v>
      </c>
    </row>
    <row r="546" spans="1:16">
      <c r="A546">
        <v>1122118</v>
      </c>
      <c r="B546" t="s">
        <v>162</v>
      </c>
      <c r="C546" t="s">
        <v>3</v>
      </c>
      <c r="D546" t="s">
        <v>5</v>
      </c>
      <c r="E546" s="14">
        <v>28</v>
      </c>
      <c r="F546" s="14">
        <v>101586</v>
      </c>
      <c r="G546" s="14">
        <v>24</v>
      </c>
      <c r="H546" s="13">
        <v>33.470000390000003</v>
      </c>
      <c r="I546" s="14">
        <v>3</v>
      </c>
      <c r="J546" s="11">
        <f>I546*85</f>
        <v>255</v>
      </c>
      <c r="K546" s="11">
        <f>J546-H546</f>
        <v>221.52999961</v>
      </c>
      <c r="L546" s="10">
        <f>G546/F546</f>
        <v>2.3625302699190835E-4</v>
      </c>
      <c r="M546" s="14">
        <f>IFERROR(ROUND(I546/G546,2),0)</f>
        <v>0.13</v>
      </c>
      <c r="N546" s="11">
        <f>IFERROR(H546/G546,0)</f>
        <v>1.3945833495833335</v>
      </c>
      <c r="O546" s="11">
        <f>IFERROR(H546/I546,0)</f>
        <v>11.156666796666668</v>
      </c>
      <c r="P546" s="11">
        <f>IFERROR((J546-H546)/H546,0)</f>
        <v>6.6187629826316829</v>
      </c>
    </row>
    <row r="547" spans="1:16">
      <c r="A547">
        <v>1122131</v>
      </c>
      <c r="B547" t="s">
        <v>162</v>
      </c>
      <c r="C547" t="s">
        <v>3</v>
      </c>
      <c r="D547" t="s">
        <v>5</v>
      </c>
      <c r="E547" s="14">
        <v>30</v>
      </c>
      <c r="F547" s="14">
        <v>93176</v>
      </c>
      <c r="G547" s="14">
        <v>29</v>
      </c>
      <c r="H547" s="13">
        <v>40.370000240000003</v>
      </c>
      <c r="I547" s="14">
        <v>3</v>
      </c>
      <c r="J547" s="11">
        <f>I547*85</f>
        <v>255</v>
      </c>
      <c r="K547" s="11">
        <f>J547-H547</f>
        <v>214.62999976</v>
      </c>
      <c r="L547" s="10">
        <f>G547/F547</f>
        <v>3.1123894565124067E-4</v>
      </c>
      <c r="M547" s="14">
        <f>IFERROR(ROUND(I547/G547,2),0)</f>
        <v>0.1</v>
      </c>
      <c r="N547" s="11">
        <f>IFERROR(H547/G547,0)</f>
        <v>1.3920689737931036</v>
      </c>
      <c r="O547" s="11">
        <f>IFERROR(H547/I547,0)</f>
        <v>13.456666746666668</v>
      </c>
      <c r="P547" s="11">
        <f>IFERROR((J547-H547)/H547,0)</f>
        <v>5.3165716741150062</v>
      </c>
    </row>
    <row r="548" spans="1:16">
      <c r="A548">
        <v>1122139</v>
      </c>
      <c r="B548" t="s">
        <v>162</v>
      </c>
      <c r="C548" t="s">
        <v>3</v>
      </c>
      <c r="D548" t="s">
        <v>5</v>
      </c>
      <c r="E548" s="14">
        <v>31</v>
      </c>
      <c r="F548" s="14">
        <v>92263</v>
      </c>
      <c r="G548" s="14">
        <v>24</v>
      </c>
      <c r="H548" s="13">
        <v>34.030000149999999</v>
      </c>
      <c r="I548" s="14">
        <v>3</v>
      </c>
      <c r="J548" s="11">
        <f>I548*85</f>
        <v>255</v>
      </c>
      <c r="K548" s="11">
        <f>J548-H548</f>
        <v>220.96999984999999</v>
      </c>
      <c r="L548" s="10">
        <f>G548/F548</f>
        <v>2.6012594431137074E-4</v>
      </c>
      <c r="M548" s="14">
        <f>IFERROR(ROUND(I548/G548,2),0)</f>
        <v>0.13</v>
      </c>
      <c r="N548" s="11">
        <f>IFERROR(H548/G548,0)</f>
        <v>1.4179166729166666</v>
      </c>
      <c r="O548" s="11">
        <f>IFERROR(H548/I548,0)</f>
        <v>11.343333383333333</v>
      </c>
      <c r="P548" s="11">
        <f>IFERROR((J548-H548)/H548,0)</f>
        <v>6.4933881538639957</v>
      </c>
    </row>
    <row r="549" spans="1:16">
      <c r="A549">
        <v>1122145</v>
      </c>
      <c r="B549" t="s">
        <v>162</v>
      </c>
      <c r="C549" t="s">
        <v>3</v>
      </c>
      <c r="D549" t="s">
        <v>5</v>
      </c>
      <c r="E549" s="14">
        <v>32</v>
      </c>
      <c r="F549" s="14">
        <v>141037</v>
      </c>
      <c r="G549" s="14">
        <v>32</v>
      </c>
      <c r="H549" s="13">
        <v>47.789999129999998</v>
      </c>
      <c r="I549" s="14">
        <v>3</v>
      </c>
      <c r="J549" s="11">
        <f>I549*85</f>
        <v>255</v>
      </c>
      <c r="K549" s="11">
        <f>J549-H549</f>
        <v>207.21000086999999</v>
      </c>
      <c r="L549" s="10">
        <f>G549/F549</f>
        <v>2.2689081588519325E-4</v>
      </c>
      <c r="M549" s="14">
        <f>IFERROR(ROUND(I549/G549,2),0)</f>
        <v>0.09</v>
      </c>
      <c r="N549" s="11">
        <f>IFERROR(H549/G549,0)</f>
        <v>1.4934374728124999</v>
      </c>
      <c r="O549" s="11">
        <f>IFERROR(H549/I549,0)</f>
        <v>15.929999709999999</v>
      </c>
      <c r="P549" s="11">
        <f>IFERROR((J549-H549)/H549,0)</f>
        <v>4.3358444160323213</v>
      </c>
    </row>
    <row r="550" spans="1:16">
      <c r="A550">
        <v>1122154</v>
      </c>
      <c r="B550" t="s">
        <v>162</v>
      </c>
      <c r="C550" t="s">
        <v>3</v>
      </c>
      <c r="D550" t="s">
        <v>5</v>
      </c>
      <c r="E550" s="14">
        <v>63</v>
      </c>
      <c r="F550" s="14">
        <v>597419</v>
      </c>
      <c r="G550" s="14">
        <v>135</v>
      </c>
      <c r="H550" s="13">
        <v>188.51000020000001</v>
      </c>
      <c r="I550" s="14">
        <v>3</v>
      </c>
      <c r="J550" s="11">
        <f>I550*85</f>
        <v>255</v>
      </c>
      <c r="K550" s="11">
        <f>J550-H550</f>
        <v>66.489999799999993</v>
      </c>
      <c r="L550" s="10">
        <f>G550/F550</f>
        <v>2.2597205646288451E-4</v>
      </c>
      <c r="M550" s="14">
        <f>IFERROR(ROUND(I550/G550,2),0)</f>
        <v>0.02</v>
      </c>
      <c r="N550" s="11">
        <f>IFERROR(H550/G550,0)</f>
        <v>1.3963703718518519</v>
      </c>
      <c r="O550" s="11">
        <f>IFERROR(H550/I550,0)</f>
        <v>62.836666733333338</v>
      </c>
      <c r="P550" s="11">
        <f>IFERROR((J550-H550)/H550,0)</f>
        <v>0.35271338247019951</v>
      </c>
    </row>
    <row r="551" spans="1:16">
      <c r="A551">
        <v>1122197</v>
      </c>
      <c r="B551" t="s">
        <v>162</v>
      </c>
      <c r="C551" t="s">
        <v>4</v>
      </c>
      <c r="D551" t="s">
        <v>5</v>
      </c>
      <c r="E551" s="14">
        <v>15</v>
      </c>
      <c r="F551" s="14">
        <v>662249</v>
      </c>
      <c r="G551" s="14">
        <v>163</v>
      </c>
      <c r="H551" s="13">
        <v>234.93999919999999</v>
      </c>
      <c r="I551" s="14">
        <v>3</v>
      </c>
      <c r="J551" s="11">
        <f>I551*85</f>
        <v>255</v>
      </c>
      <c r="K551" s="11">
        <f>J551-H551</f>
        <v>20.060000800000012</v>
      </c>
      <c r="L551" s="10">
        <f>G551/F551</f>
        <v>2.4613098698525779E-4</v>
      </c>
      <c r="M551" s="14">
        <f>IFERROR(ROUND(I551/G551,2),0)</f>
        <v>0.02</v>
      </c>
      <c r="N551" s="11">
        <f>IFERROR(H551/G551,0)</f>
        <v>1.4413496883435581</v>
      </c>
      <c r="O551" s="11">
        <f>IFERROR(H551/I551,0)</f>
        <v>78.313333066666658</v>
      </c>
      <c r="P551" s="11">
        <f>IFERROR((J551-H551)/H551,0)</f>
        <v>8.538350586663325E-2</v>
      </c>
    </row>
    <row r="552" spans="1:16">
      <c r="A552">
        <v>1122203</v>
      </c>
      <c r="B552" t="s">
        <v>162</v>
      </c>
      <c r="C552" t="s">
        <v>4</v>
      </c>
      <c r="D552" t="s">
        <v>5</v>
      </c>
      <c r="E552" s="14">
        <v>16</v>
      </c>
      <c r="F552" s="14">
        <v>699314</v>
      </c>
      <c r="G552" s="14">
        <v>164</v>
      </c>
      <c r="H552" s="13">
        <v>226.0300014</v>
      </c>
      <c r="I552" s="14">
        <v>3</v>
      </c>
      <c r="J552" s="11">
        <f>I552*85</f>
        <v>255</v>
      </c>
      <c r="K552" s="11">
        <f>J552-H552</f>
        <v>28.969998599999997</v>
      </c>
      <c r="L552" s="10">
        <f>G552/F552</f>
        <v>2.3451553951443844E-4</v>
      </c>
      <c r="M552" s="14">
        <f>IFERROR(ROUND(I552/G552,2),0)</f>
        <v>0.02</v>
      </c>
      <c r="N552" s="11">
        <f>IFERROR(H552/G552,0)</f>
        <v>1.3782317158536586</v>
      </c>
      <c r="O552" s="11">
        <f>IFERROR(H552/I552,0)</f>
        <v>75.343333799999996</v>
      </c>
      <c r="P552" s="11">
        <f>IFERROR((J552-H552)/H552,0)</f>
        <v>0.12816882015911008</v>
      </c>
    </row>
    <row r="553" spans="1:16">
      <c r="A553">
        <v>1122244</v>
      </c>
      <c r="B553" t="s">
        <v>162</v>
      </c>
      <c r="C553" t="s">
        <v>4</v>
      </c>
      <c r="D553" t="s">
        <v>5</v>
      </c>
      <c r="E553" s="14">
        <v>24</v>
      </c>
      <c r="F553" s="14">
        <v>85083</v>
      </c>
      <c r="G553" s="14">
        <v>32</v>
      </c>
      <c r="H553" s="13">
        <v>38.629999759999997</v>
      </c>
      <c r="I553" s="14">
        <v>3</v>
      </c>
      <c r="J553" s="11">
        <f>I553*85</f>
        <v>255</v>
      </c>
      <c r="K553" s="11">
        <f>J553-H553</f>
        <v>216.37000024</v>
      </c>
      <c r="L553" s="10">
        <f>G553/F553</f>
        <v>3.7610333439112398E-4</v>
      </c>
      <c r="M553" s="14">
        <f>IFERROR(ROUND(I553/G553,2),0)</f>
        <v>0.09</v>
      </c>
      <c r="N553" s="11">
        <f>IFERROR(H553/G553,0)</f>
        <v>1.2071874924999999</v>
      </c>
      <c r="O553" s="11">
        <f>IFERROR(H553/I553,0)</f>
        <v>12.876666586666666</v>
      </c>
      <c r="P553" s="11">
        <f>IFERROR((J553-H553)/H553,0)</f>
        <v>5.601087278909163</v>
      </c>
    </row>
    <row r="554" spans="1:16">
      <c r="A554">
        <v>1122288</v>
      </c>
      <c r="B554" t="s">
        <v>162</v>
      </c>
      <c r="C554" t="s">
        <v>4</v>
      </c>
      <c r="D554" t="s">
        <v>5</v>
      </c>
      <c r="E554" s="14">
        <v>31</v>
      </c>
      <c r="F554" s="14">
        <v>51754</v>
      </c>
      <c r="G554" s="14">
        <v>13</v>
      </c>
      <c r="H554" s="13">
        <v>20.519999980000001</v>
      </c>
      <c r="I554" s="14">
        <v>3</v>
      </c>
      <c r="J554" s="11">
        <f>I554*85</f>
        <v>255</v>
      </c>
      <c r="K554" s="11">
        <f>J554-H554</f>
        <v>234.48000002000001</v>
      </c>
      <c r="L554" s="10">
        <f>G554/F554</f>
        <v>2.5118831394674806E-4</v>
      </c>
      <c r="M554" s="14">
        <f>IFERROR(ROUND(I554/G554,2),0)</f>
        <v>0.23</v>
      </c>
      <c r="N554" s="11">
        <f>IFERROR(H554/G554,0)</f>
        <v>1.578461536923077</v>
      </c>
      <c r="O554" s="11">
        <f>IFERROR(H554/I554,0)</f>
        <v>6.8399999933333335</v>
      </c>
      <c r="P554" s="11">
        <f>IFERROR((J554-H554)/H554,0)</f>
        <v>11.426900596907309</v>
      </c>
    </row>
    <row r="555" spans="1:16">
      <c r="A555">
        <v>1122308</v>
      </c>
      <c r="B555" t="s">
        <v>162</v>
      </c>
      <c r="C555" t="s">
        <v>4</v>
      </c>
      <c r="D555" t="s">
        <v>5</v>
      </c>
      <c r="E555" s="14">
        <v>63</v>
      </c>
      <c r="F555" s="14">
        <v>427772</v>
      </c>
      <c r="G555" s="14">
        <v>117</v>
      </c>
      <c r="H555" s="13">
        <v>159.29999900000001</v>
      </c>
      <c r="I555" s="14">
        <v>3</v>
      </c>
      <c r="J555" s="11">
        <f>I555*85</f>
        <v>255</v>
      </c>
      <c r="K555" s="11">
        <f>J555-H555</f>
        <v>95.700000999999986</v>
      </c>
      <c r="L555" s="10">
        <f>G555/F555</f>
        <v>2.7351018767006723E-4</v>
      </c>
      <c r="M555" s="14">
        <f>IFERROR(ROUND(I555/G555,2),0)</f>
        <v>0.03</v>
      </c>
      <c r="N555" s="11">
        <f>IFERROR(H555/G555,0)</f>
        <v>1.3615384529914532</v>
      </c>
      <c r="O555" s="11">
        <f>IFERROR(H555/I555,0)</f>
        <v>53.099999666666669</v>
      </c>
      <c r="P555" s="11">
        <f>IFERROR((J555-H555)/H555,0)</f>
        <v>0.60075330571722085</v>
      </c>
    </row>
    <row r="556" spans="1:16">
      <c r="A556">
        <v>1122313</v>
      </c>
      <c r="B556" t="s">
        <v>162</v>
      </c>
      <c r="C556" t="s">
        <v>4</v>
      </c>
      <c r="D556" t="s">
        <v>5</v>
      </c>
      <c r="E556" s="14">
        <v>64</v>
      </c>
      <c r="F556" s="14">
        <v>358261</v>
      </c>
      <c r="G556" s="14">
        <v>91</v>
      </c>
      <c r="H556" s="13">
        <v>130.36000110000001</v>
      </c>
      <c r="I556" s="14">
        <v>3</v>
      </c>
      <c r="J556" s="11">
        <f>I556*85</f>
        <v>255</v>
      </c>
      <c r="K556" s="11">
        <f>J556-H556</f>
        <v>124.63999889999999</v>
      </c>
      <c r="L556" s="10">
        <f>G556/F556</f>
        <v>2.5400476189147016E-4</v>
      </c>
      <c r="M556" s="14">
        <f>IFERROR(ROUND(I556/G556,2),0)</f>
        <v>0.03</v>
      </c>
      <c r="N556" s="11">
        <f>IFERROR(H556/G556,0)</f>
        <v>1.4325274846153846</v>
      </c>
      <c r="O556" s="11">
        <f>IFERROR(H556/I556,0)</f>
        <v>43.453333700000002</v>
      </c>
      <c r="P556" s="11">
        <f>IFERROR((J556-H556)/H556,0)</f>
        <v>0.95612149315945338</v>
      </c>
    </row>
    <row r="557" spans="1:16">
      <c r="A557">
        <v>1314364</v>
      </c>
      <c r="B557" t="s">
        <v>162</v>
      </c>
      <c r="C557" t="s">
        <v>0</v>
      </c>
      <c r="D557" t="s">
        <v>5</v>
      </c>
      <c r="E557" s="14">
        <v>108</v>
      </c>
      <c r="F557" s="14">
        <v>132124</v>
      </c>
      <c r="G557" s="14">
        <v>8</v>
      </c>
      <c r="H557" s="13">
        <v>11.18999994</v>
      </c>
      <c r="I557" s="14">
        <v>3</v>
      </c>
      <c r="J557" s="11">
        <f>I557*85</f>
        <v>255</v>
      </c>
      <c r="K557" s="11">
        <f>J557-H557</f>
        <v>243.81000005999999</v>
      </c>
      <c r="L557" s="10">
        <f>G557/F557</f>
        <v>6.0549181072325996E-5</v>
      </c>
      <c r="M557" s="14">
        <f>IFERROR(ROUND(I557/G557,2),0)</f>
        <v>0.38</v>
      </c>
      <c r="N557" s="11">
        <f>IFERROR(H557/G557,0)</f>
        <v>1.3987499925</v>
      </c>
      <c r="O557" s="11">
        <f>IFERROR(H557/I557,0)</f>
        <v>3.7299999800000001</v>
      </c>
      <c r="P557" s="11">
        <f>IFERROR((J557-H557)/H557,0)</f>
        <v>21.788203875539967</v>
      </c>
    </row>
    <row r="558" spans="1:16">
      <c r="A558">
        <v>1314385</v>
      </c>
      <c r="B558" t="s">
        <v>162</v>
      </c>
      <c r="C558" t="s">
        <v>2</v>
      </c>
      <c r="D558" t="s">
        <v>5</v>
      </c>
      <c r="E558" s="14">
        <v>114</v>
      </c>
      <c r="F558" s="14">
        <v>90470</v>
      </c>
      <c r="G558" s="14">
        <v>11</v>
      </c>
      <c r="H558" s="13">
        <v>16.730000019999999</v>
      </c>
      <c r="I558" s="14">
        <v>3</v>
      </c>
      <c r="J558" s="11">
        <f>I558*85</f>
        <v>255</v>
      </c>
      <c r="K558" s="11">
        <f>J558-H558</f>
        <v>238.26999997999999</v>
      </c>
      <c r="L558" s="10">
        <f>G558/F558</f>
        <v>1.2158726649718139E-4</v>
      </c>
      <c r="M558" s="14">
        <f>IFERROR(ROUND(I558/G558,2),0)</f>
        <v>0.27</v>
      </c>
      <c r="N558" s="11">
        <f>IFERROR(H558/G558,0)</f>
        <v>1.5209090927272726</v>
      </c>
      <c r="O558" s="11">
        <f>IFERROR(H558/I558,0)</f>
        <v>5.5766666733333325</v>
      </c>
      <c r="P558" s="11">
        <f>IFERROR((J558-H558)/H558,0)</f>
        <v>14.242080077415327</v>
      </c>
    </row>
    <row r="559" spans="1:16">
      <c r="A559">
        <v>1314391</v>
      </c>
      <c r="B559" t="s">
        <v>162</v>
      </c>
      <c r="C559" t="s">
        <v>3</v>
      </c>
      <c r="D559" t="s">
        <v>5</v>
      </c>
      <c r="E559" s="14">
        <v>105</v>
      </c>
      <c r="F559" s="14">
        <v>228629</v>
      </c>
      <c r="G559" s="14">
        <v>38</v>
      </c>
      <c r="H559" s="13">
        <v>57</v>
      </c>
      <c r="I559" s="14">
        <v>3</v>
      </c>
      <c r="J559" s="11">
        <f>I559*85</f>
        <v>255</v>
      </c>
      <c r="K559" s="11">
        <f>J559-H559</f>
        <v>198</v>
      </c>
      <c r="L559" s="10">
        <f>G559/F559</f>
        <v>1.6620813632566296E-4</v>
      </c>
      <c r="M559" s="14">
        <f>IFERROR(ROUND(I559/G559,2),0)</f>
        <v>0.08</v>
      </c>
      <c r="N559" s="11">
        <f>IFERROR(H559/G559,0)</f>
        <v>1.5</v>
      </c>
      <c r="O559" s="11">
        <f>IFERROR(H559/I559,0)</f>
        <v>19</v>
      </c>
      <c r="P559" s="11">
        <f>IFERROR((J559-H559)/H559,0)</f>
        <v>3.4736842105263159</v>
      </c>
    </row>
    <row r="560" spans="1:16">
      <c r="A560">
        <v>1314396</v>
      </c>
      <c r="B560" t="s">
        <v>162</v>
      </c>
      <c r="C560" t="s">
        <v>3</v>
      </c>
      <c r="D560" t="s">
        <v>5</v>
      </c>
      <c r="E560" s="14">
        <v>110</v>
      </c>
      <c r="F560" s="14">
        <v>419922</v>
      </c>
      <c r="G560" s="14">
        <v>75</v>
      </c>
      <c r="H560" s="13">
        <v>105.4500008</v>
      </c>
      <c r="I560" s="14">
        <v>3</v>
      </c>
      <c r="J560" s="11">
        <f>I560*85</f>
        <v>255</v>
      </c>
      <c r="K560" s="11">
        <f>J560-H560</f>
        <v>149.5499992</v>
      </c>
      <c r="L560" s="10">
        <f>G560/F560</f>
        <v>1.7860459799677082E-4</v>
      </c>
      <c r="M560" s="14">
        <f>IFERROR(ROUND(I560/G560,2),0)</f>
        <v>0.04</v>
      </c>
      <c r="N560" s="11">
        <f>IFERROR(H560/G560,0)</f>
        <v>1.4060000106666666</v>
      </c>
      <c r="O560" s="11">
        <f>IFERROR(H560/I560,0)</f>
        <v>35.150000266666666</v>
      </c>
      <c r="P560" s="11">
        <f>IFERROR((J560-H560)/H560,0)</f>
        <v>1.4182076630197618</v>
      </c>
    </row>
    <row r="561" spans="1:16">
      <c r="A561">
        <v>1314400</v>
      </c>
      <c r="B561" t="s">
        <v>162</v>
      </c>
      <c r="C561" t="s">
        <v>3</v>
      </c>
      <c r="D561" t="s">
        <v>5</v>
      </c>
      <c r="E561" s="14">
        <v>114</v>
      </c>
      <c r="F561" s="14">
        <v>250234</v>
      </c>
      <c r="G561" s="14">
        <v>40</v>
      </c>
      <c r="H561" s="13">
        <v>62.31999922</v>
      </c>
      <c r="I561" s="14">
        <v>3</v>
      </c>
      <c r="J561" s="11">
        <f>I561*85</f>
        <v>255</v>
      </c>
      <c r="K561" s="11">
        <f>J561-H561</f>
        <v>192.68000078</v>
      </c>
      <c r="L561" s="10">
        <f>G561/F561</f>
        <v>1.5985038004427855E-4</v>
      </c>
      <c r="M561" s="14">
        <f>IFERROR(ROUND(I561/G561,2),0)</f>
        <v>0.08</v>
      </c>
      <c r="N561" s="11">
        <f>IFERROR(H561/G561,0)</f>
        <v>1.5579999805</v>
      </c>
      <c r="O561" s="11">
        <f>IFERROR(H561/I561,0)</f>
        <v>20.773333073333333</v>
      </c>
      <c r="P561" s="11">
        <f>IFERROR((J561-H561)/H561,0)</f>
        <v>3.091784390108983</v>
      </c>
    </row>
    <row r="562" spans="1:16">
      <c r="A562">
        <v>708749</v>
      </c>
      <c r="B562" t="s">
        <v>160</v>
      </c>
      <c r="C562" t="s">
        <v>0</v>
      </c>
      <c r="D562" t="s">
        <v>1</v>
      </c>
      <c r="E562" s="14">
        <v>16</v>
      </c>
      <c r="F562" s="14">
        <v>17861</v>
      </c>
      <c r="G562" s="14">
        <v>2</v>
      </c>
      <c r="H562" s="13">
        <v>1.820000023</v>
      </c>
      <c r="I562" s="14">
        <v>2</v>
      </c>
      <c r="J562" s="11">
        <f>I562*85</f>
        <v>170</v>
      </c>
      <c r="K562" s="11">
        <f>J562-H562</f>
        <v>168.17999997699999</v>
      </c>
      <c r="L562" s="10">
        <f>G562/F562</f>
        <v>1.1197581322434354E-4</v>
      </c>
      <c r="M562" s="14">
        <f>IFERROR(ROUND(I562/G562,2),0)</f>
        <v>1</v>
      </c>
      <c r="N562" s="11">
        <f>IFERROR(H562/G562,0)</f>
        <v>0.91000001149999998</v>
      </c>
      <c r="O562" s="11">
        <f>IFERROR(H562/I562,0)</f>
        <v>0.91000001149999998</v>
      </c>
      <c r="P562" s="11">
        <f>IFERROR((J562-H562)/H562,0)</f>
        <v>92.406592226180422</v>
      </c>
    </row>
    <row r="563" spans="1:16">
      <c r="A563">
        <v>708818</v>
      </c>
      <c r="B563" t="s">
        <v>160</v>
      </c>
      <c r="C563" t="s">
        <v>0</v>
      </c>
      <c r="D563" t="s">
        <v>1</v>
      </c>
      <c r="E563" s="14">
        <v>28</v>
      </c>
      <c r="F563" s="14">
        <v>4133</v>
      </c>
      <c r="G563" s="14">
        <v>1</v>
      </c>
      <c r="H563" s="13">
        <v>1.289999962</v>
      </c>
      <c r="I563" s="14">
        <v>2</v>
      </c>
      <c r="J563" s="11">
        <f>I563*85</f>
        <v>170</v>
      </c>
      <c r="K563" s="11">
        <f>J563-H563</f>
        <v>168.710000038</v>
      </c>
      <c r="L563" s="10">
        <f>G563/F563</f>
        <v>2.4195499637067505E-4</v>
      </c>
      <c r="M563" s="14">
        <f>IFERROR(ROUND(I563/G563,2),0)</f>
        <v>2</v>
      </c>
      <c r="N563" s="11">
        <f>IFERROR(H563/G563,0)</f>
        <v>1.289999962</v>
      </c>
      <c r="O563" s="11">
        <f>IFERROR(H563/I563,0)</f>
        <v>0.644999981</v>
      </c>
      <c r="P563" s="11">
        <f>IFERROR((J563-H563)/H563,0)</f>
        <v>130.78294961841246</v>
      </c>
    </row>
    <row r="564" spans="1:16">
      <c r="A564">
        <v>708895</v>
      </c>
      <c r="B564" t="s">
        <v>160</v>
      </c>
      <c r="C564" t="s">
        <v>0</v>
      </c>
      <c r="D564" t="s">
        <v>1</v>
      </c>
      <c r="E564" s="14">
        <v>16</v>
      </c>
      <c r="F564" s="14">
        <v>10951</v>
      </c>
      <c r="G564" s="14">
        <v>1</v>
      </c>
      <c r="H564" s="13">
        <v>1.269999981</v>
      </c>
      <c r="I564" s="14">
        <v>2</v>
      </c>
      <c r="J564" s="11">
        <f>I564*85</f>
        <v>170</v>
      </c>
      <c r="K564" s="11">
        <f>J564-H564</f>
        <v>168.73000001899999</v>
      </c>
      <c r="L564" s="10">
        <f>G564/F564</f>
        <v>9.1315861565153872E-5</v>
      </c>
      <c r="M564" s="14">
        <f>IFERROR(ROUND(I564/G564,2),0)</f>
        <v>2</v>
      </c>
      <c r="N564" s="11">
        <f>IFERROR(H564/G564,0)</f>
        <v>1.269999981</v>
      </c>
      <c r="O564" s="11">
        <f>IFERROR(H564/I564,0)</f>
        <v>0.6349999905</v>
      </c>
      <c r="P564" s="11">
        <f>IFERROR((J564-H564)/H564,0)</f>
        <v>132.85826971913946</v>
      </c>
    </row>
    <row r="565" spans="1:16">
      <c r="A565">
        <v>709059</v>
      </c>
      <c r="B565" t="s">
        <v>160</v>
      </c>
      <c r="C565" t="s">
        <v>0</v>
      </c>
      <c r="D565" t="s">
        <v>1</v>
      </c>
      <c r="E565" s="14">
        <v>20</v>
      </c>
      <c r="F565" s="14">
        <v>14669</v>
      </c>
      <c r="G565" s="14">
        <v>7</v>
      </c>
      <c r="H565" s="13">
        <v>10.280000210000001</v>
      </c>
      <c r="I565" s="14">
        <v>2</v>
      </c>
      <c r="J565" s="11">
        <f>I565*85</f>
        <v>170</v>
      </c>
      <c r="K565" s="11">
        <f>J565-H565</f>
        <v>159.71999979</v>
      </c>
      <c r="L565" s="10">
        <f>G565/F565</f>
        <v>4.77196809598473E-4</v>
      </c>
      <c r="M565" s="14">
        <f>IFERROR(ROUND(I565/G565,2),0)</f>
        <v>0.28999999999999998</v>
      </c>
      <c r="N565" s="11">
        <f>IFERROR(H565/G565,0)</f>
        <v>1.4685714585714287</v>
      </c>
      <c r="O565" s="11">
        <f>IFERROR(H565/I565,0)</f>
        <v>5.1400001050000004</v>
      </c>
      <c r="P565" s="11">
        <f>IFERROR((J565-H565)/H565,0)</f>
        <v>15.536964642727375</v>
      </c>
    </row>
    <row r="566" spans="1:16">
      <c r="A566">
        <v>709327</v>
      </c>
      <c r="B566" t="s">
        <v>160</v>
      </c>
      <c r="C566" t="s">
        <v>2</v>
      </c>
      <c r="D566" t="s">
        <v>1</v>
      </c>
      <c r="E566" s="14">
        <v>16</v>
      </c>
      <c r="F566" s="14">
        <v>12193</v>
      </c>
      <c r="G566" s="14">
        <v>2</v>
      </c>
      <c r="H566" s="13">
        <v>3.0599999430000002</v>
      </c>
      <c r="I566" s="14">
        <v>2</v>
      </c>
      <c r="J566" s="11">
        <f>I566*85</f>
        <v>170</v>
      </c>
      <c r="K566" s="11">
        <f>J566-H566</f>
        <v>166.94000005699999</v>
      </c>
      <c r="L566" s="10">
        <f>G566/F566</f>
        <v>1.640285409661281E-4</v>
      </c>
      <c r="M566" s="14">
        <f>IFERROR(ROUND(I566/G566,2),0)</f>
        <v>1</v>
      </c>
      <c r="N566" s="11">
        <f>IFERROR(H566/G566,0)</f>
        <v>1.5299999715000001</v>
      </c>
      <c r="O566" s="11">
        <f>IFERROR(H566/I566,0)</f>
        <v>1.5299999715000001</v>
      </c>
      <c r="P566" s="11">
        <f>IFERROR((J566-H566)/H566,0)</f>
        <v>54.555556590413957</v>
      </c>
    </row>
    <row r="567" spans="1:16">
      <c r="A567">
        <v>709544</v>
      </c>
      <c r="B567" t="s">
        <v>160</v>
      </c>
      <c r="C567" t="s">
        <v>2</v>
      </c>
      <c r="D567" t="s">
        <v>1</v>
      </c>
      <c r="E567" s="14">
        <v>29</v>
      </c>
      <c r="F567" s="14">
        <v>7440</v>
      </c>
      <c r="G567" s="14">
        <v>2</v>
      </c>
      <c r="H567" s="13">
        <v>2.9800000190000002</v>
      </c>
      <c r="I567" s="14">
        <v>2</v>
      </c>
      <c r="J567" s="11">
        <f>I567*85</f>
        <v>170</v>
      </c>
      <c r="K567" s="11">
        <f>J567-H567</f>
        <v>167.01999998100001</v>
      </c>
      <c r="L567" s="10">
        <f>G567/F567</f>
        <v>2.6881720430107527E-4</v>
      </c>
      <c r="M567" s="14">
        <f>IFERROR(ROUND(I567/G567,2),0)</f>
        <v>1</v>
      </c>
      <c r="N567" s="11">
        <f>IFERROR(H567/G567,0)</f>
        <v>1.4900000095000001</v>
      </c>
      <c r="O567" s="11">
        <f>IFERROR(H567/I567,0)</f>
        <v>1.4900000095000001</v>
      </c>
      <c r="P567" s="11">
        <f>IFERROR((J567-H567)/H567,0)</f>
        <v>56.04697950204946</v>
      </c>
    </row>
    <row r="568" spans="1:16">
      <c r="A568">
        <v>709756</v>
      </c>
      <c r="B568" t="s">
        <v>160</v>
      </c>
      <c r="C568" t="s">
        <v>3</v>
      </c>
      <c r="D568" t="s">
        <v>1</v>
      </c>
      <c r="E568" s="14">
        <v>16</v>
      </c>
      <c r="F568" s="14">
        <v>10976</v>
      </c>
      <c r="G568" s="14">
        <v>2</v>
      </c>
      <c r="H568" s="13">
        <v>1.690000057</v>
      </c>
      <c r="I568" s="14">
        <v>2</v>
      </c>
      <c r="J568" s="11">
        <f>I568*85</f>
        <v>170</v>
      </c>
      <c r="K568" s="11">
        <f>J568-H568</f>
        <v>168.30999994300001</v>
      </c>
      <c r="L568" s="10">
        <f>G568/F568</f>
        <v>1.8221574344023323E-4</v>
      </c>
      <c r="M568" s="14">
        <f>IFERROR(ROUND(I568/G568,2),0)</f>
        <v>1</v>
      </c>
      <c r="N568" s="11">
        <f>IFERROR(H568/G568,0)</f>
        <v>0.8450000285</v>
      </c>
      <c r="O568" s="11">
        <f>IFERROR(H568/I568,0)</f>
        <v>0.8450000285</v>
      </c>
      <c r="P568" s="11">
        <f>IFERROR((J568-H568)/H568,0)</f>
        <v>99.591712583593136</v>
      </c>
    </row>
    <row r="569" spans="1:16">
      <c r="A569">
        <v>709901</v>
      </c>
      <c r="B569" t="s">
        <v>160</v>
      </c>
      <c r="C569" t="s">
        <v>3</v>
      </c>
      <c r="D569" t="s">
        <v>1</v>
      </c>
      <c r="E569" s="14">
        <v>16</v>
      </c>
      <c r="F569" s="14">
        <v>23817</v>
      </c>
      <c r="G569" s="14">
        <v>7</v>
      </c>
      <c r="H569" s="13">
        <v>8.4700001480000005</v>
      </c>
      <c r="I569" s="14">
        <v>2</v>
      </c>
      <c r="J569" s="11">
        <f>I569*85</f>
        <v>170</v>
      </c>
      <c r="K569" s="11">
        <f>J569-H569</f>
        <v>161.529999852</v>
      </c>
      <c r="L569" s="10">
        <f>G569/F569</f>
        <v>2.9390771297812488E-4</v>
      </c>
      <c r="M569" s="14">
        <f>IFERROR(ROUND(I569/G569,2),0)</f>
        <v>0.28999999999999998</v>
      </c>
      <c r="N569" s="11">
        <f>IFERROR(H569/G569,0)</f>
        <v>1.2100000211428572</v>
      </c>
      <c r="O569" s="11">
        <f>IFERROR(H569/I569,0)</f>
        <v>4.2350000740000002</v>
      </c>
      <c r="P569" s="11">
        <f>IFERROR((J569-H569)/H569,0)</f>
        <v>19.07083790194994</v>
      </c>
    </row>
    <row r="570" spans="1:16">
      <c r="A570">
        <v>710360</v>
      </c>
      <c r="B570" t="s">
        <v>160</v>
      </c>
      <c r="C570" t="s">
        <v>4</v>
      </c>
      <c r="D570" t="s">
        <v>1</v>
      </c>
      <c r="E570" s="14">
        <v>21</v>
      </c>
      <c r="F570" s="14">
        <v>2182</v>
      </c>
      <c r="G570" s="14">
        <v>1</v>
      </c>
      <c r="H570" s="13">
        <v>1.5299999710000001</v>
      </c>
      <c r="I570" s="14">
        <v>2</v>
      </c>
      <c r="J570" s="11">
        <f>I570*85</f>
        <v>170</v>
      </c>
      <c r="K570" s="11">
        <f>J570-H570</f>
        <v>168.470000029</v>
      </c>
      <c r="L570" s="10">
        <f>G570/F570</f>
        <v>4.5829514207149406E-4</v>
      </c>
      <c r="M570" s="14">
        <f>IFERROR(ROUND(I570/G570,2),0)</f>
        <v>2</v>
      </c>
      <c r="N570" s="11">
        <f>IFERROR(H570/G570,0)</f>
        <v>1.5299999710000001</v>
      </c>
      <c r="O570" s="11">
        <f>IFERROR(H570/I570,0)</f>
        <v>0.76499998550000003</v>
      </c>
      <c r="P570" s="11">
        <f>IFERROR((J570-H570)/H570,0)</f>
        <v>110.11111321713875</v>
      </c>
    </row>
    <row r="571" spans="1:16">
      <c r="A571">
        <v>710480</v>
      </c>
      <c r="B571" t="s">
        <v>160</v>
      </c>
      <c r="C571" t="s">
        <v>0</v>
      </c>
      <c r="D571" t="s">
        <v>5</v>
      </c>
      <c r="E571" s="14">
        <v>16</v>
      </c>
      <c r="F571" s="14">
        <v>57665</v>
      </c>
      <c r="G571" s="14">
        <v>14</v>
      </c>
      <c r="H571" s="13">
        <v>18.06999969</v>
      </c>
      <c r="I571" s="14">
        <v>2</v>
      </c>
      <c r="J571" s="11">
        <f>I571*85</f>
        <v>170</v>
      </c>
      <c r="K571" s="11">
        <f>J571-H571</f>
        <v>151.93000031</v>
      </c>
      <c r="L571" s="10">
        <f>G571/F571</f>
        <v>2.4278158328275385E-4</v>
      </c>
      <c r="M571" s="14">
        <f>IFERROR(ROUND(I571/G571,2),0)</f>
        <v>0.14000000000000001</v>
      </c>
      <c r="N571" s="11">
        <f>IFERROR(H571/G571,0)</f>
        <v>1.2907142635714286</v>
      </c>
      <c r="O571" s="11">
        <f>IFERROR(H571/I571,0)</f>
        <v>9.0349998449999998</v>
      </c>
      <c r="P571" s="11">
        <f>IFERROR((J571-H571)/H571,0)</f>
        <v>8.4078584901182136</v>
      </c>
    </row>
    <row r="572" spans="1:16">
      <c r="A572">
        <v>710571</v>
      </c>
      <c r="B572" t="s">
        <v>160</v>
      </c>
      <c r="C572" t="s">
        <v>0</v>
      </c>
      <c r="D572" t="s">
        <v>5</v>
      </c>
      <c r="E572" s="14">
        <v>32</v>
      </c>
      <c r="F572" s="14">
        <v>3091</v>
      </c>
      <c r="G572" s="14">
        <v>1</v>
      </c>
      <c r="H572" s="13">
        <v>1.6100000139999999</v>
      </c>
      <c r="I572" s="14">
        <v>2</v>
      </c>
      <c r="J572" s="11">
        <f>I572*85</f>
        <v>170</v>
      </c>
      <c r="K572" s="11">
        <f>J572-H572</f>
        <v>168.38999998599999</v>
      </c>
      <c r="L572" s="10">
        <f>G572/F572</f>
        <v>3.2351989647363315E-4</v>
      </c>
      <c r="M572" s="14">
        <f>IFERROR(ROUND(I572/G572,2),0)</f>
        <v>2</v>
      </c>
      <c r="N572" s="11">
        <f>IFERROR(H572/G572,0)</f>
        <v>1.6100000139999999</v>
      </c>
      <c r="O572" s="11">
        <f>IFERROR(H572/I572,0)</f>
        <v>0.80500000699999996</v>
      </c>
      <c r="P572" s="11">
        <f>IFERROR((J572-H572)/H572,0)</f>
        <v>104.59006119362679</v>
      </c>
    </row>
    <row r="573" spans="1:16">
      <c r="A573">
        <v>710836</v>
      </c>
      <c r="B573" t="s">
        <v>160</v>
      </c>
      <c r="C573" t="s">
        <v>0</v>
      </c>
      <c r="D573" t="s">
        <v>5</v>
      </c>
      <c r="E573" s="14">
        <v>29</v>
      </c>
      <c r="F573" s="14">
        <v>22221</v>
      </c>
      <c r="G573" s="14">
        <v>7</v>
      </c>
      <c r="H573" s="13">
        <v>9.4300000669999999</v>
      </c>
      <c r="I573" s="14">
        <v>2</v>
      </c>
      <c r="J573" s="11">
        <f>I573*85</f>
        <v>170</v>
      </c>
      <c r="K573" s="11">
        <f>J573-H573</f>
        <v>160.56999993299999</v>
      </c>
      <c r="L573" s="10">
        <f>G573/F573</f>
        <v>3.1501732595292742E-4</v>
      </c>
      <c r="M573" s="14">
        <f>IFERROR(ROUND(I573/G573,2),0)</f>
        <v>0.28999999999999998</v>
      </c>
      <c r="N573" s="11">
        <f>IFERROR(H573/G573,0)</f>
        <v>1.3471428667142857</v>
      </c>
      <c r="O573" s="11">
        <f>IFERROR(H573/I573,0)</f>
        <v>4.7150000335</v>
      </c>
      <c r="P573" s="11">
        <f>IFERROR((J573-H573)/H573,0)</f>
        <v>17.027571451978016</v>
      </c>
    </row>
    <row r="574" spans="1:16">
      <c r="A574">
        <v>710968</v>
      </c>
      <c r="B574" t="s">
        <v>160</v>
      </c>
      <c r="C574" t="s">
        <v>2</v>
      </c>
      <c r="D574" t="s">
        <v>5</v>
      </c>
      <c r="E574" s="14">
        <v>27</v>
      </c>
      <c r="F574" s="14">
        <v>5864</v>
      </c>
      <c r="G574" s="14">
        <v>2</v>
      </c>
      <c r="H574" s="13">
        <v>2.7999999519999998</v>
      </c>
      <c r="I574" s="14">
        <v>2</v>
      </c>
      <c r="J574" s="11">
        <f>I574*85</f>
        <v>170</v>
      </c>
      <c r="K574" s="11">
        <f>J574-H574</f>
        <v>167.20000004799999</v>
      </c>
      <c r="L574" s="10">
        <f>G574/F574</f>
        <v>3.4106412005457026E-4</v>
      </c>
      <c r="M574" s="14">
        <f>IFERROR(ROUND(I574/G574,2),0)</f>
        <v>1</v>
      </c>
      <c r="N574" s="11">
        <f>IFERROR(H574/G574,0)</f>
        <v>1.3999999759999999</v>
      </c>
      <c r="O574" s="11">
        <f>IFERROR(H574/I574,0)</f>
        <v>1.3999999759999999</v>
      </c>
      <c r="P574" s="11">
        <f>IFERROR((J574-H574)/H574,0)</f>
        <v>59.714286755102059</v>
      </c>
    </row>
    <row r="575" spans="1:16">
      <c r="A575">
        <v>711764</v>
      </c>
      <c r="B575" t="s">
        <v>160</v>
      </c>
      <c r="C575" t="s">
        <v>4</v>
      </c>
      <c r="D575" t="s">
        <v>5</v>
      </c>
      <c r="E575" s="14">
        <v>10</v>
      </c>
      <c r="F575" s="14">
        <v>11199</v>
      </c>
      <c r="G575" s="14">
        <v>4</v>
      </c>
      <c r="H575" s="13">
        <v>5.7300000190000002</v>
      </c>
      <c r="I575" s="14">
        <v>2</v>
      </c>
      <c r="J575" s="11">
        <f>I575*85</f>
        <v>170</v>
      </c>
      <c r="K575" s="11">
        <f>J575-H575</f>
        <v>164.26999998100001</v>
      </c>
      <c r="L575" s="10">
        <f>G575/F575</f>
        <v>3.5717474774533438E-4</v>
      </c>
      <c r="M575" s="14">
        <f>IFERROR(ROUND(I575/G575,2),0)</f>
        <v>0.5</v>
      </c>
      <c r="N575" s="11">
        <f>IFERROR(H575/G575,0)</f>
        <v>1.4325000047500001</v>
      </c>
      <c r="O575" s="11">
        <f>IFERROR(H575/I575,0)</f>
        <v>2.8650000095000001</v>
      </c>
      <c r="P575" s="11">
        <f>IFERROR((J575-H575)/H575,0)</f>
        <v>28.668411768987816</v>
      </c>
    </row>
    <row r="576" spans="1:16">
      <c r="A576">
        <v>734210</v>
      </c>
      <c r="B576" t="s">
        <v>161</v>
      </c>
      <c r="C576" t="s">
        <v>0</v>
      </c>
      <c r="D576" t="s">
        <v>1</v>
      </c>
      <c r="E576" s="14">
        <v>10</v>
      </c>
      <c r="F576" s="14">
        <v>13329</v>
      </c>
      <c r="G576" s="14">
        <v>4</v>
      </c>
      <c r="H576" s="13">
        <v>5.6299999950000004</v>
      </c>
      <c r="I576" s="14">
        <v>2</v>
      </c>
      <c r="J576" s="11">
        <f>I576*85</f>
        <v>170</v>
      </c>
      <c r="K576" s="11">
        <f>J576-H576</f>
        <v>164.37000000500001</v>
      </c>
      <c r="L576" s="10">
        <f>G576/F576</f>
        <v>3.0009753169780176E-4</v>
      </c>
      <c r="M576" s="14">
        <f>IFERROR(ROUND(I576/G576,2),0)</f>
        <v>0.5</v>
      </c>
      <c r="N576" s="11">
        <f>IFERROR(H576/G576,0)</f>
        <v>1.4074999987500001</v>
      </c>
      <c r="O576" s="11">
        <f>IFERROR(H576/I576,0)</f>
        <v>2.8149999975000002</v>
      </c>
      <c r="P576" s="11">
        <f>IFERROR((J576-H576)/H576,0)</f>
        <v>29.195381909587372</v>
      </c>
    </row>
    <row r="577" spans="1:16">
      <c r="A577">
        <v>734352</v>
      </c>
      <c r="B577" t="s">
        <v>161</v>
      </c>
      <c r="C577" t="s">
        <v>2</v>
      </c>
      <c r="D577" t="s">
        <v>1</v>
      </c>
      <c r="E577" s="14">
        <v>10</v>
      </c>
      <c r="F577" s="14">
        <v>4423</v>
      </c>
      <c r="G577" s="14">
        <v>1</v>
      </c>
      <c r="H577" s="13">
        <v>1.460000038</v>
      </c>
      <c r="I577" s="14">
        <v>2</v>
      </c>
      <c r="J577" s="11">
        <f>I577*85</f>
        <v>170</v>
      </c>
      <c r="K577" s="11">
        <f>J577-H577</f>
        <v>168.539999962</v>
      </c>
      <c r="L577" s="10">
        <f>G577/F577</f>
        <v>2.2609088853719196E-4</v>
      </c>
      <c r="M577" s="14">
        <f>IFERROR(ROUND(I577/G577,2),0)</f>
        <v>2</v>
      </c>
      <c r="N577" s="11">
        <f>IFERROR(H577/G577,0)</f>
        <v>1.460000038</v>
      </c>
      <c r="O577" s="11">
        <f>IFERROR(H577/I577,0)</f>
        <v>0.730000019</v>
      </c>
      <c r="P577" s="11">
        <f>IFERROR((J577-H577)/H577,0)</f>
        <v>115.43835313379628</v>
      </c>
    </row>
    <row r="578" spans="1:16">
      <c r="A578">
        <v>734361</v>
      </c>
      <c r="B578" t="s">
        <v>161</v>
      </c>
      <c r="C578" t="s">
        <v>2</v>
      </c>
      <c r="D578" t="s">
        <v>1</v>
      </c>
      <c r="E578" s="14">
        <v>16</v>
      </c>
      <c r="F578" s="14">
        <v>12382</v>
      </c>
      <c r="G578" s="14">
        <v>2</v>
      </c>
      <c r="H578" s="13">
        <v>2.8399999139999998</v>
      </c>
      <c r="I578" s="14">
        <v>2</v>
      </c>
      <c r="J578" s="11">
        <f>I578*85</f>
        <v>170</v>
      </c>
      <c r="K578" s="11">
        <f>J578-H578</f>
        <v>167.160000086</v>
      </c>
      <c r="L578" s="10">
        <f>G578/F578</f>
        <v>1.6152479405588758E-4</v>
      </c>
      <c r="M578" s="14">
        <f>IFERROR(ROUND(I578/G578,2),0)</f>
        <v>1</v>
      </c>
      <c r="N578" s="11">
        <f>IFERROR(H578/G578,0)</f>
        <v>1.4199999569999999</v>
      </c>
      <c r="O578" s="11">
        <f>IFERROR(H578/I578,0)</f>
        <v>1.4199999569999999</v>
      </c>
      <c r="P578" s="11">
        <f>IFERROR((J578-H578)/H578,0)</f>
        <v>58.859156742213905</v>
      </c>
    </row>
    <row r="579" spans="1:16">
      <c r="A579">
        <v>734381</v>
      </c>
      <c r="B579" t="s">
        <v>161</v>
      </c>
      <c r="C579" t="s">
        <v>2</v>
      </c>
      <c r="D579" t="s">
        <v>1</v>
      </c>
      <c r="E579" s="14">
        <v>20</v>
      </c>
      <c r="F579" s="14">
        <v>2938</v>
      </c>
      <c r="G579" s="14">
        <v>1</v>
      </c>
      <c r="H579" s="13">
        <v>1.3500000240000001</v>
      </c>
      <c r="I579" s="14">
        <v>2</v>
      </c>
      <c r="J579" s="11">
        <f>I579*85</f>
        <v>170</v>
      </c>
      <c r="K579" s="11">
        <f>J579-H579</f>
        <v>168.649999976</v>
      </c>
      <c r="L579" s="10">
        <f>G579/F579</f>
        <v>3.4036759700476512E-4</v>
      </c>
      <c r="M579" s="14">
        <f>IFERROR(ROUND(I579/G579,2),0)</f>
        <v>2</v>
      </c>
      <c r="N579" s="11">
        <f>IFERROR(H579/G579,0)</f>
        <v>1.3500000240000001</v>
      </c>
      <c r="O579" s="11">
        <f>IFERROR(H579/I579,0)</f>
        <v>0.67500001200000004</v>
      </c>
      <c r="P579" s="11">
        <f>IFERROR((J579-H579)/H579,0)</f>
        <v>124.92592368724283</v>
      </c>
    </row>
    <row r="580" spans="1:16">
      <c r="A580">
        <v>734582</v>
      </c>
      <c r="B580" t="s">
        <v>161</v>
      </c>
      <c r="C580" t="s">
        <v>3</v>
      </c>
      <c r="D580" t="s">
        <v>1</v>
      </c>
      <c r="E580" s="14">
        <v>29</v>
      </c>
      <c r="F580" s="14">
        <v>7709</v>
      </c>
      <c r="G580" s="14">
        <v>2</v>
      </c>
      <c r="H580" s="13">
        <v>1.3200000519999999</v>
      </c>
      <c r="I580" s="14">
        <v>2</v>
      </c>
      <c r="J580" s="11">
        <f>I580*85</f>
        <v>170</v>
      </c>
      <c r="K580" s="11">
        <f>J580-H580</f>
        <v>168.67999994799999</v>
      </c>
      <c r="L580" s="10">
        <f>G580/F580</f>
        <v>2.5943702166299128E-4</v>
      </c>
      <c r="M580" s="14">
        <f>IFERROR(ROUND(I580/G580,2),0)</f>
        <v>1</v>
      </c>
      <c r="N580" s="11">
        <f>IFERROR(H580/G580,0)</f>
        <v>0.66000002599999996</v>
      </c>
      <c r="O580" s="11">
        <f>IFERROR(H580/I580,0)</f>
        <v>0.66000002599999996</v>
      </c>
      <c r="P580" s="11">
        <f>IFERROR((J580-H580)/H580,0)</f>
        <v>127.78787371441709</v>
      </c>
    </row>
    <row r="581" spans="1:16">
      <c r="A581">
        <v>734785</v>
      </c>
      <c r="B581" t="s">
        <v>161</v>
      </c>
      <c r="C581" t="s">
        <v>0</v>
      </c>
      <c r="D581" t="s">
        <v>5</v>
      </c>
      <c r="E581" s="14">
        <v>10</v>
      </c>
      <c r="F581" s="14">
        <v>5576</v>
      </c>
      <c r="G581" s="14">
        <v>1</v>
      </c>
      <c r="H581" s="13">
        <v>1.5299999710000001</v>
      </c>
      <c r="I581" s="14">
        <v>2</v>
      </c>
      <c r="J581" s="11">
        <f>I581*85</f>
        <v>170</v>
      </c>
      <c r="K581" s="11">
        <f>J581-H581</f>
        <v>168.470000029</v>
      </c>
      <c r="L581" s="10">
        <f>G581/F581</f>
        <v>1.793400286944046E-4</v>
      </c>
      <c r="M581" s="14">
        <f>IFERROR(ROUND(I581/G581,2),0)</f>
        <v>2</v>
      </c>
      <c r="N581" s="11">
        <f>IFERROR(H581/G581,0)</f>
        <v>1.5299999710000001</v>
      </c>
      <c r="O581" s="11">
        <f>IFERROR(H581/I581,0)</f>
        <v>0.76499998550000003</v>
      </c>
      <c r="P581" s="11">
        <f>IFERROR((J581-H581)/H581,0)</f>
        <v>110.11111321713875</v>
      </c>
    </row>
    <row r="582" spans="1:16">
      <c r="A582">
        <v>734796</v>
      </c>
      <c r="B582" t="s">
        <v>161</v>
      </c>
      <c r="C582" t="s">
        <v>0</v>
      </c>
      <c r="D582" t="s">
        <v>5</v>
      </c>
      <c r="E582" s="14">
        <v>16</v>
      </c>
      <c r="F582" s="14">
        <v>39337</v>
      </c>
      <c r="G582" s="14">
        <v>7</v>
      </c>
      <c r="H582" s="13">
        <v>10.03000009</v>
      </c>
      <c r="I582" s="14">
        <v>2</v>
      </c>
      <c r="J582" s="11">
        <f>I582*85</f>
        <v>170</v>
      </c>
      <c r="K582" s="11">
        <f>J582-H582</f>
        <v>159.96999991000001</v>
      </c>
      <c r="L582" s="10">
        <f>G582/F582</f>
        <v>1.7794951318097466E-4</v>
      </c>
      <c r="M582" s="14">
        <f>IFERROR(ROUND(I582/G582,2),0)</f>
        <v>0.28999999999999998</v>
      </c>
      <c r="N582" s="11">
        <f>IFERROR(H582/G582,0)</f>
        <v>1.4328571557142857</v>
      </c>
      <c r="O582" s="11">
        <f>IFERROR(H582/I582,0)</f>
        <v>5.0150000449999999</v>
      </c>
      <c r="P582" s="11">
        <f>IFERROR((J582-H582)/H582,0)</f>
        <v>15.94915239028677</v>
      </c>
    </row>
    <row r="583" spans="1:16">
      <c r="A583">
        <v>734856</v>
      </c>
      <c r="B583" t="s">
        <v>161</v>
      </c>
      <c r="C583" t="s">
        <v>0</v>
      </c>
      <c r="D583" t="s">
        <v>5</v>
      </c>
      <c r="E583" s="14">
        <v>27</v>
      </c>
      <c r="F583" s="14">
        <v>5453</v>
      </c>
      <c r="G583" s="14">
        <v>1</v>
      </c>
      <c r="H583" s="13">
        <v>1.3899999860000001</v>
      </c>
      <c r="I583" s="14">
        <v>2</v>
      </c>
      <c r="J583" s="11">
        <f>I583*85</f>
        <v>170</v>
      </c>
      <c r="K583" s="11">
        <f>J583-H583</f>
        <v>168.61000001400001</v>
      </c>
      <c r="L583" s="10">
        <f>G583/F583</f>
        <v>1.8338529249954154E-4</v>
      </c>
      <c r="M583" s="14">
        <f>IFERROR(ROUND(I583/G583,2),0)</f>
        <v>2</v>
      </c>
      <c r="N583" s="11">
        <f>IFERROR(H583/G583,0)</f>
        <v>1.3899999860000001</v>
      </c>
      <c r="O583" s="11">
        <f>IFERROR(H583/I583,0)</f>
        <v>0.69499999300000004</v>
      </c>
      <c r="P583" s="11">
        <f>IFERROR((J583-H583)/H583,0)</f>
        <v>121.3021595052016</v>
      </c>
    </row>
    <row r="584" spans="1:16">
      <c r="A584">
        <v>734881</v>
      </c>
      <c r="B584" t="s">
        <v>161</v>
      </c>
      <c r="C584" t="s">
        <v>0</v>
      </c>
      <c r="D584" t="s">
        <v>5</v>
      </c>
      <c r="E584" s="14">
        <v>31</v>
      </c>
      <c r="F584" s="14">
        <v>4259</v>
      </c>
      <c r="G584" s="14">
        <v>1</v>
      </c>
      <c r="H584" s="13">
        <v>1.5700000519999999</v>
      </c>
      <c r="I584" s="14">
        <v>2</v>
      </c>
      <c r="J584" s="11">
        <f>I584*85</f>
        <v>170</v>
      </c>
      <c r="K584" s="11">
        <f>J584-H584</f>
        <v>168.42999994799999</v>
      </c>
      <c r="L584" s="10">
        <f>G584/F584</f>
        <v>2.3479690068091102E-4</v>
      </c>
      <c r="M584" s="14">
        <f>IFERROR(ROUND(I584/G584,2),0)</f>
        <v>2</v>
      </c>
      <c r="N584" s="11">
        <f>IFERROR(H584/G584,0)</f>
        <v>1.5700000519999999</v>
      </c>
      <c r="O584" s="11">
        <f>IFERROR(H584/I584,0)</f>
        <v>0.78500002599999996</v>
      </c>
      <c r="P584" s="11">
        <f>IFERROR((J584-H584)/H584,0)</f>
        <v>107.28025119071779</v>
      </c>
    </row>
    <row r="585" spans="1:16">
      <c r="A585">
        <v>734903</v>
      </c>
      <c r="B585" t="s">
        <v>161</v>
      </c>
      <c r="C585" t="s">
        <v>0</v>
      </c>
      <c r="D585" t="s">
        <v>5</v>
      </c>
      <c r="E585" s="14">
        <v>64</v>
      </c>
      <c r="F585" s="14">
        <v>5323</v>
      </c>
      <c r="G585" s="14">
        <v>1</v>
      </c>
      <c r="H585" s="13">
        <v>1.289999962</v>
      </c>
      <c r="I585" s="14">
        <v>2</v>
      </c>
      <c r="J585" s="11">
        <f>I585*85</f>
        <v>170</v>
      </c>
      <c r="K585" s="11">
        <f>J585-H585</f>
        <v>168.710000038</v>
      </c>
      <c r="L585" s="10">
        <f>G585/F585</f>
        <v>1.8786398647379298E-4</v>
      </c>
      <c r="M585" s="14">
        <f>IFERROR(ROUND(I585/G585,2),0)</f>
        <v>2</v>
      </c>
      <c r="N585" s="11">
        <f>IFERROR(H585/G585,0)</f>
        <v>1.289999962</v>
      </c>
      <c r="O585" s="11">
        <f>IFERROR(H585/I585,0)</f>
        <v>0.644999981</v>
      </c>
      <c r="P585" s="11">
        <f>IFERROR((J585-H585)/H585,0)</f>
        <v>130.78294961841246</v>
      </c>
    </row>
    <row r="586" spans="1:16">
      <c r="A586">
        <v>734925</v>
      </c>
      <c r="B586" t="s">
        <v>161</v>
      </c>
      <c r="C586" t="s">
        <v>2</v>
      </c>
      <c r="D586" t="s">
        <v>5</v>
      </c>
      <c r="E586" s="14">
        <v>10</v>
      </c>
      <c r="F586" s="14">
        <v>5024</v>
      </c>
      <c r="G586" s="14">
        <v>1</v>
      </c>
      <c r="H586" s="13">
        <v>1.4099999670000001</v>
      </c>
      <c r="I586" s="14">
        <v>2</v>
      </c>
      <c r="J586" s="11">
        <f>I586*85</f>
        <v>170</v>
      </c>
      <c r="K586" s="11">
        <f>J586-H586</f>
        <v>168.590000033</v>
      </c>
      <c r="L586" s="10">
        <f>G586/F586</f>
        <v>1.9904458598726116E-4</v>
      </c>
      <c r="M586" s="14">
        <f>IFERROR(ROUND(I586/G586,2),0)</f>
        <v>2</v>
      </c>
      <c r="N586" s="11">
        <f>IFERROR(H586/G586,0)</f>
        <v>1.4099999670000001</v>
      </c>
      <c r="O586" s="11">
        <f>IFERROR(H586/I586,0)</f>
        <v>0.70499998350000004</v>
      </c>
      <c r="P586" s="11">
        <f>IFERROR((J586-H586)/H586,0)</f>
        <v>119.56737870831452</v>
      </c>
    </row>
    <row r="587" spans="1:16">
      <c r="A587">
        <v>734968</v>
      </c>
      <c r="B587" t="s">
        <v>161</v>
      </c>
      <c r="C587" t="s">
        <v>2</v>
      </c>
      <c r="D587" t="s">
        <v>5</v>
      </c>
      <c r="E587" s="14">
        <v>22</v>
      </c>
      <c r="F587" s="14">
        <v>8504</v>
      </c>
      <c r="G587" s="14">
        <v>3</v>
      </c>
      <c r="H587" s="13">
        <v>3.340000093</v>
      </c>
      <c r="I587" s="14">
        <v>2</v>
      </c>
      <c r="J587" s="11">
        <f>I587*85</f>
        <v>170</v>
      </c>
      <c r="K587" s="11">
        <f>J587-H587</f>
        <v>166.65999990700001</v>
      </c>
      <c r="L587" s="10">
        <f>G587/F587</f>
        <v>3.5277516462841018E-4</v>
      </c>
      <c r="M587" s="14">
        <f>IFERROR(ROUND(I587/G587,2),0)</f>
        <v>0.67</v>
      </c>
      <c r="N587" s="11">
        <f>IFERROR(H587/G587,0)</f>
        <v>1.1133333643333334</v>
      </c>
      <c r="O587" s="11">
        <f>IFERROR(H587/I587,0)</f>
        <v>1.6700000465</v>
      </c>
      <c r="P587" s="11">
        <f>IFERROR((J587-H587)/H587,0)</f>
        <v>49.898202175588985</v>
      </c>
    </row>
    <row r="588" spans="1:16">
      <c r="A588">
        <v>735014</v>
      </c>
      <c r="B588" t="s">
        <v>161</v>
      </c>
      <c r="C588" t="s">
        <v>2</v>
      </c>
      <c r="D588" t="s">
        <v>5</v>
      </c>
      <c r="E588" s="14">
        <v>29</v>
      </c>
      <c r="F588" s="14">
        <v>12403</v>
      </c>
      <c r="G588" s="14">
        <v>4</v>
      </c>
      <c r="H588" s="13">
        <v>5.2100000380000004</v>
      </c>
      <c r="I588" s="14">
        <v>2</v>
      </c>
      <c r="J588" s="11">
        <f>I588*85</f>
        <v>170</v>
      </c>
      <c r="K588" s="11">
        <f>J588-H588</f>
        <v>164.789999962</v>
      </c>
      <c r="L588" s="10">
        <f>G588/F588</f>
        <v>3.225026203337902E-4</v>
      </c>
      <c r="M588" s="14">
        <f>IFERROR(ROUND(I588/G588,2),0)</f>
        <v>0.5</v>
      </c>
      <c r="N588" s="11">
        <f>IFERROR(H588/G588,0)</f>
        <v>1.3025000095000001</v>
      </c>
      <c r="O588" s="11">
        <f>IFERROR(H588/I588,0)</f>
        <v>2.6050000190000002</v>
      </c>
      <c r="P588" s="11">
        <f>IFERROR((J588-H588)/H588,0)</f>
        <v>31.62955830327769</v>
      </c>
    </row>
    <row r="589" spans="1:16">
      <c r="A589">
        <v>735289</v>
      </c>
      <c r="B589" t="s">
        <v>161</v>
      </c>
      <c r="C589" t="s">
        <v>4</v>
      </c>
      <c r="D589" t="s">
        <v>5</v>
      </c>
      <c r="E589" s="14">
        <v>27</v>
      </c>
      <c r="F589" s="14">
        <v>20362</v>
      </c>
      <c r="G589" s="14">
        <v>5</v>
      </c>
      <c r="H589" s="13">
        <v>9.1199998860000004</v>
      </c>
      <c r="I589" s="14">
        <v>2</v>
      </c>
      <c r="J589" s="11">
        <f>I589*85</f>
        <v>170</v>
      </c>
      <c r="K589" s="11">
        <f>J589-H589</f>
        <v>160.88000011400001</v>
      </c>
      <c r="L589" s="10">
        <f>G589/F589</f>
        <v>2.4555544641980157E-4</v>
      </c>
      <c r="M589" s="14">
        <f>IFERROR(ROUND(I589/G589,2),0)</f>
        <v>0.4</v>
      </c>
      <c r="N589" s="11">
        <f>IFERROR(H589/G589,0)</f>
        <v>1.8239999772000002</v>
      </c>
      <c r="O589" s="11">
        <f>IFERROR(H589/I589,0)</f>
        <v>4.5599999430000002</v>
      </c>
      <c r="P589" s="11">
        <f>IFERROR((J589-H589)/H589,0)</f>
        <v>17.640351110197372</v>
      </c>
    </row>
    <row r="590" spans="1:16">
      <c r="A590">
        <v>737524</v>
      </c>
      <c r="B590" t="s">
        <v>161</v>
      </c>
      <c r="C590" t="s">
        <v>3</v>
      </c>
      <c r="D590" t="s">
        <v>1</v>
      </c>
      <c r="E590" s="14">
        <v>30</v>
      </c>
      <c r="F590" s="14">
        <v>2148</v>
      </c>
      <c r="G590" s="14">
        <v>1</v>
      </c>
      <c r="H590" s="13">
        <v>1.5800000430000001</v>
      </c>
      <c r="I590" s="14">
        <v>2</v>
      </c>
      <c r="J590" s="11">
        <f>I590*85</f>
        <v>170</v>
      </c>
      <c r="K590" s="11">
        <f>J590-H590</f>
        <v>168.41999995699999</v>
      </c>
      <c r="L590" s="10">
        <f>G590/F590</f>
        <v>4.6554934823091247E-4</v>
      </c>
      <c r="M590" s="14">
        <f>IFERROR(ROUND(I590/G590,2),0)</f>
        <v>2</v>
      </c>
      <c r="N590" s="11">
        <f>IFERROR(H590/G590,0)</f>
        <v>1.5800000430000001</v>
      </c>
      <c r="O590" s="11">
        <f>IFERROR(H590/I590,0)</f>
        <v>0.79000002150000004</v>
      </c>
      <c r="P590" s="11">
        <f>IFERROR((J590-H590)/H590,0)</f>
        <v>106.5949337806442</v>
      </c>
    </row>
    <row r="591" spans="1:16">
      <c r="A591">
        <v>737657</v>
      </c>
      <c r="B591" t="s">
        <v>161</v>
      </c>
      <c r="C591" t="s">
        <v>4</v>
      </c>
      <c r="D591" t="s">
        <v>1</v>
      </c>
      <c r="E591" s="14">
        <v>18</v>
      </c>
      <c r="F591" s="14">
        <v>7478</v>
      </c>
      <c r="G591" s="14">
        <v>2</v>
      </c>
      <c r="H591" s="13">
        <v>2.9000000950000002</v>
      </c>
      <c r="I591" s="14">
        <v>2</v>
      </c>
      <c r="J591" s="11">
        <f>I591*85</f>
        <v>170</v>
      </c>
      <c r="K591" s="11">
        <f>J591-H591</f>
        <v>167.099999905</v>
      </c>
      <c r="L591" s="10">
        <f>G591/F591</f>
        <v>2.6745119015779618E-4</v>
      </c>
      <c r="M591" s="14">
        <f>IFERROR(ROUND(I591/G591,2),0)</f>
        <v>1</v>
      </c>
      <c r="N591" s="11">
        <f>IFERROR(H591/G591,0)</f>
        <v>1.4500000475000001</v>
      </c>
      <c r="O591" s="11">
        <f>IFERROR(H591/I591,0)</f>
        <v>1.4500000475000001</v>
      </c>
      <c r="P591" s="11">
        <f>IFERROR((J591-H591)/H591,0)</f>
        <v>57.620687734839535</v>
      </c>
    </row>
    <row r="592" spans="1:16">
      <c r="A592">
        <v>738006</v>
      </c>
      <c r="B592" t="s">
        <v>161</v>
      </c>
      <c r="C592" t="s">
        <v>0</v>
      </c>
      <c r="D592" t="s">
        <v>5</v>
      </c>
      <c r="E592" s="14">
        <v>27</v>
      </c>
      <c r="F592" s="14">
        <v>34740</v>
      </c>
      <c r="G592" s="14">
        <v>7</v>
      </c>
      <c r="H592" s="13">
        <v>13.41000009</v>
      </c>
      <c r="I592" s="14">
        <v>2</v>
      </c>
      <c r="J592" s="11">
        <f>I592*85</f>
        <v>170</v>
      </c>
      <c r="K592" s="11">
        <f>J592-H592</f>
        <v>156.58999990999999</v>
      </c>
      <c r="L592" s="10">
        <f>G592/F592</f>
        <v>2.0149683362118595E-4</v>
      </c>
      <c r="M592" s="14">
        <f>IFERROR(ROUND(I592/G592,2),0)</f>
        <v>0.28999999999999998</v>
      </c>
      <c r="N592" s="11">
        <f>IFERROR(H592/G592,0)</f>
        <v>1.9157142985714286</v>
      </c>
      <c r="O592" s="11">
        <f>IFERROR(H592/I592,0)</f>
        <v>6.7050000450000002</v>
      </c>
      <c r="P592" s="11">
        <f>IFERROR((J592-H592)/H592,0)</f>
        <v>11.677106551756927</v>
      </c>
    </row>
    <row r="593" spans="1:16">
      <c r="A593">
        <v>738307</v>
      </c>
      <c r="B593" t="s">
        <v>161</v>
      </c>
      <c r="C593" t="s">
        <v>2</v>
      </c>
      <c r="D593" t="s">
        <v>5</v>
      </c>
      <c r="E593" s="14">
        <v>31</v>
      </c>
      <c r="F593" s="14">
        <v>3010</v>
      </c>
      <c r="G593" s="14">
        <v>1</v>
      </c>
      <c r="H593" s="13">
        <v>0.86000001400000003</v>
      </c>
      <c r="I593" s="14">
        <v>2</v>
      </c>
      <c r="J593" s="11">
        <f>I593*85</f>
        <v>170</v>
      </c>
      <c r="K593" s="11">
        <f>J593-H593</f>
        <v>169.13999998599999</v>
      </c>
      <c r="L593" s="10">
        <f>G593/F593</f>
        <v>3.3222591362126248E-4</v>
      </c>
      <c r="M593" s="14">
        <f>IFERROR(ROUND(I593/G593,2),0)</f>
        <v>2</v>
      </c>
      <c r="N593" s="11">
        <f>IFERROR(H593/G593,0)</f>
        <v>0.86000001400000003</v>
      </c>
      <c r="O593" s="11">
        <f>IFERROR(H593/I593,0)</f>
        <v>0.43000000700000002</v>
      </c>
      <c r="P593" s="11">
        <f>IFERROR((J593-H593)/H593,0)</f>
        <v>196.67441538669556</v>
      </c>
    </row>
    <row r="594" spans="1:16">
      <c r="A594">
        <v>738389</v>
      </c>
      <c r="B594" t="s">
        <v>161</v>
      </c>
      <c r="C594" t="s">
        <v>3</v>
      </c>
      <c r="D594" t="s">
        <v>5</v>
      </c>
      <c r="E594" s="14">
        <v>10</v>
      </c>
      <c r="F594" s="14">
        <v>27081</v>
      </c>
      <c r="G594" s="14">
        <v>9</v>
      </c>
      <c r="H594" s="13">
        <v>10.77000046</v>
      </c>
      <c r="I594" s="14">
        <v>2</v>
      </c>
      <c r="J594" s="11">
        <f>I594*85</f>
        <v>170</v>
      </c>
      <c r="K594" s="11">
        <f>J594-H594</f>
        <v>159.22999953999999</v>
      </c>
      <c r="L594" s="10">
        <f>G594/F594</f>
        <v>3.3233632436025255E-4</v>
      </c>
      <c r="M594" s="14">
        <f>IFERROR(ROUND(I594/G594,2),0)</f>
        <v>0.22</v>
      </c>
      <c r="N594" s="11">
        <f>IFERROR(H594/G594,0)</f>
        <v>1.1966667177777779</v>
      </c>
      <c r="O594" s="11">
        <f>IFERROR(H594/I594,0)</f>
        <v>5.3850002300000002</v>
      </c>
      <c r="P594" s="11">
        <f>IFERROR((J594-H594)/H594,0)</f>
        <v>14.784586141048315</v>
      </c>
    </row>
    <row r="595" spans="1:16">
      <c r="A595">
        <v>738423</v>
      </c>
      <c r="B595" t="s">
        <v>161</v>
      </c>
      <c r="C595" t="s">
        <v>3</v>
      </c>
      <c r="D595" t="s">
        <v>5</v>
      </c>
      <c r="E595" s="14">
        <v>18</v>
      </c>
      <c r="F595" s="14">
        <v>21664</v>
      </c>
      <c r="G595" s="14">
        <v>7</v>
      </c>
      <c r="H595" s="13">
        <v>10.61999977</v>
      </c>
      <c r="I595" s="14">
        <v>2</v>
      </c>
      <c r="J595" s="11">
        <f>I595*85</f>
        <v>170</v>
      </c>
      <c r="K595" s="11">
        <f>J595-H595</f>
        <v>159.38000023000001</v>
      </c>
      <c r="L595" s="10">
        <f>G595/F595</f>
        <v>3.2311669128508124E-4</v>
      </c>
      <c r="M595" s="14">
        <f>IFERROR(ROUND(I595/G595,2),0)</f>
        <v>0.28999999999999998</v>
      </c>
      <c r="N595" s="11">
        <f>IFERROR(H595/G595,0)</f>
        <v>1.5171428242857143</v>
      </c>
      <c r="O595" s="11">
        <f>IFERROR(H595/I595,0)</f>
        <v>5.3099998849999999</v>
      </c>
      <c r="P595" s="11">
        <f>IFERROR((J595-H595)/H595,0)</f>
        <v>15.007533303364658</v>
      </c>
    </row>
    <row r="596" spans="1:16">
      <c r="A596">
        <v>738436</v>
      </c>
      <c r="B596" t="s">
        <v>161</v>
      </c>
      <c r="C596" t="s">
        <v>3</v>
      </c>
      <c r="D596" t="s">
        <v>5</v>
      </c>
      <c r="E596" s="14">
        <v>19</v>
      </c>
      <c r="F596" s="14">
        <v>9112</v>
      </c>
      <c r="G596" s="14">
        <v>4</v>
      </c>
      <c r="H596" s="13">
        <v>5.4600000380000004</v>
      </c>
      <c r="I596" s="14">
        <v>2</v>
      </c>
      <c r="J596" s="11">
        <f>I596*85</f>
        <v>170</v>
      </c>
      <c r="K596" s="11">
        <f>J596-H596</f>
        <v>164.539999962</v>
      </c>
      <c r="L596" s="10">
        <f>G596/F596</f>
        <v>4.3898156277436348E-4</v>
      </c>
      <c r="M596" s="14">
        <f>IFERROR(ROUND(I596/G596,2),0)</f>
        <v>0.5</v>
      </c>
      <c r="N596" s="11">
        <f>IFERROR(H596/G596,0)</f>
        <v>1.3650000095000001</v>
      </c>
      <c r="O596" s="11">
        <f>IFERROR(H596/I596,0)</f>
        <v>2.7300000190000002</v>
      </c>
      <c r="P596" s="11">
        <f>IFERROR((J596-H596)/H596,0)</f>
        <v>30.13553091883696</v>
      </c>
    </row>
    <row r="597" spans="1:16">
      <c r="A597">
        <v>738582</v>
      </c>
      <c r="B597" t="s">
        <v>161</v>
      </c>
      <c r="C597" t="s">
        <v>4</v>
      </c>
      <c r="D597" t="s">
        <v>5</v>
      </c>
      <c r="E597" s="14">
        <v>10</v>
      </c>
      <c r="F597" s="14">
        <v>46150</v>
      </c>
      <c r="G597" s="14">
        <v>15</v>
      </c>
      <c r="H597" s="13">
        <v>20.17999983</v>
      </c>
      <c r="I597" s="14">
        <v>2</v>
      </c>
      <c r="J597" s="11">
        <f>I597*85</f>
        <v>170</v>
      </c>
      <c r="K597" s="11">
        <f>J597-H597</f>
        <v>149.82000017000001</v>
      </c>
      <c r="L597" s="10">
        <f>G597/F597</f>
        <v>3.250270855904659E-4</v>
      </c>
      <c r="M597" s="14">
        <f>IFERROR(ROUND(I597/G597,2),0)</f>
        <v>0.13</v>
      </c>
      <c r="N597" s="11">
        <f>IFERROR(H597/G597,0)</f>
        <v>1.3453333219999999</v>
      </c>
      <c r="O597" s="11">
        <f>IFERROR(H597/I597,0)</f>
        <v>10.089999915</v>
      </c>
      <c r="P597" s="11">
        <f>IFERROR((J597-H597)/H597,0)</f>
        <v>7.4241824297379102</v>
      </c>
    </row>
    <row r="598" spans="1:16">
      <c r="A598">
        <v>738598</v>
      </c>
      <c r="B598" t="s">
        <v>161</v>
      </c>
      <c r="C598" t="s">
        <v>4</v>
      </c>
      <c r="D598" t="s">
        <v>5</v>
      </c>
      <c r="E598" s="14">
        <v>18</v>
      </c>
      <c r="F598" s="14">
        <v>12956</v>
      </c>
      <c r="G598" s="14">
        <v>4</v>
      </c>
      <c r="H598" s="13">
        <v>5.4900000100000002</v>
      </c>
      <c r="I598" s="14">
        <v>2</v>
      </c>
      <c r="J598" s="11">
        <f>I598*85</f>
        <v>170</v>
      </c>
      <c r="K598" s="11">
        <f>J598-H598</f>
        <v>164.50999999000001</v>
      </c>
      <c r="L598" s="10">
        <f>G598/F598</f>
        <v>3.0873726458783575E-4</v>
      </c>
      <c r="M598" s="14">
        <f>IFERROR(ROUND(I598/G598,2),0)</f>
        <v>0.5</v>
      </c>
      <c r="N598" s="11">
        <f>IFERROR(H598/G598,0)</f>
        <v>1.3725000025</v>
      </c>
      <c r="O598" s="11">
        <f>IFERROR(H598/I598,0)</f>
        <v>2.7450000050000001</v>
      </c>
      <c r="P598" s="11">
        <f>IFERROR((J598-H598)/H598,0)</f>
        <v>29.965391564726065</v>
      </c>
    </row>
    <row r="599" spans="1:16">
      <c r="A599">
        <v>747223</v>
      </c>
      <c r="B599" t="s">
        <v>161</v>
      </c>
      <c r="C599" t="s">
        <v>0</v>
      </c>
      <c r="D599" t="s">
        <v>1</v>
      </c>
      <c r="E599" s="14">
        <v>16</v>
      </c>
      <c r="F599" s="14">
        <v>8032</v>
      </c>
      <c r="G599" s="14">
        <v>1</v>
      </c>
      <c r="H599" s="13">
        <v>0.60000002399999997</v>
      </c>
      <c r="I599" s="14">
        <v>2</v>
      </c>
      <c r="J599" s="11">
        <f>I599*85</f>
        <v>170</v>
      </c>
      <c r="K599" s="11">
        <f>J599-H599</f>
        <v>169.399999976</v>
      </c>
      <c r="L599" s="10">
        <f>G599/F599</f>
        <v>1.2450199203187251E-4</v>
      </c>
      <c r="M599" s="14">
        <f>IFERROR(ROUND(I599/G599,2),0)</f>
        <v>2</v>
      </c>
      <c r="N599" s="11">
        <f>IFERROR(H599/G599,0)</f>
        <v>0.60000002399999997</v>
      </c>
      <c r="O599" s="11">
        <f>IFERROR(H599/I599,0)</f>
        <v>0.30000001199999998</v>
      </c>
      <c r="P599" s="11">
        <f>IFERROR((J599-H599)/H599,0)</f>
        <v>282.33332200000046</v>
      </c>
    </row>
    <row r="600" spans="1:16">
      <c r="A600">
        <v>747362</v>
      </c>
      <c r="B600" t="s">
        <v>161</v>
      </c>
      <c r="C600" t="s">
        <v>2</v>
      </c>
      <c r="D600" t="s">
        <v>1</v>
      </c>
      <c r="E600" s="14">
        <v>15</v>
      </c>
      <c r="F600" s="14">
        <v>4607</v>
      </c>
      <c r="G600" s="14">
        <v>1</v>
      </c>
      <c r="H600" s="13">
        <v>1.1499999759999999</v>
      </c>
      <c r="I600" s="14">
        <v>2</v>
      </c>
      <c r="J600" s="11">
        <f>I600*85</f>
        <v>170</v>
      </c>
      <c r="K600" s="11">
        <f>J600-H600</f>
        <v>168.850000024</v>
      </c>
      <c r="L600" s="10">
        <f>G600/F600</f>
        <v>2.1706099413935315E-4</v>
      </c>
      <c r="M600" s="14">
        <f>IFERROR(ROUND(I600/G600,2),0)</f>
        <v>2</v>
      </c>
      <c r="N600" s="11">
        <f>IFERROR(H600/G600,0)</f>
        <v>1.1499999759999999</v>
      </c>
      <c r="O600" s="11">
        <f>IFERROR(H600/I600,0)</f>
        <v>0.57499998799999996</v>
      </c>
      <c r="P600" s="11">
        <f>IFERROR((J600-H600)/H600,0)</f>
        <v>146.82609004158797</v>
      </c>
    </row>
    <row r="601" spans="1:16">
      <c r="A601">
        <v>747369</v>
      </c>
      <c r="B601" t="s">
        <v>161</v>
      </c>
      <c r="C601" t="s">
        <v>2</v>
      </c>
      <c r="D601" t="s">
        <v>1</v>
      </c>
      <c r="E601" s="14">
        <v>16</v>
      </c>
      <c r="F601" s="14">
        <v>13355</v>
      </c>
      <c r="G601" s="14">
        <v>2</v>
      </c>
      <c r="H601" s="13">
        <v>3.1800000669999999</v>
      </c>
      <c r="I601" s="14">
        <v>2</v>
      </c>
      <c r="J601" s="11">
        <f>I601*85</f>
        <v>170</v>
      </c>
      <c r="K601" s="11">
        <f>J601-H601</f>
        <v>166.81999993299999</v>
      </c>
      <c r="L601" s="10">
        <f>G601/F601</f>
        <v>1.4975664545114188E-4</v>
      </c>
      <c r="M601" s="14">
        <f>IFERROR(ROUND(I601/G601,2),0)</f>
        <v>1</v>
      </c>
      <c r="N601" s="11">
        <f>IFERROR(H601/G601,0)</f>
        <v>1.5900000335</v>
      </c>
      <c r="O601" s="11">
        <f>IFERROR(H601/I601,0)</f>
        <v>1.5900000335</v>
      </c>
      <c r="P601" s="11">
        <f>IFERROR((J601-H601)/H601,0)</f>
        <v>52.459118370515426</v>
      </c>
    </row>
    <row r="602" spans="1:16">
      <c r="A602">
        <v>747401</v>
      </c>
      <c r="B602" t="s">
        <v>161</v>
      </c>
      <c r="C602" t="s">
        <v>2</v>
      </c>
      <c r="D602" t="s">
        <v>1</v>
      </c>
      <c r="E602" s="14">
        <v>22</v>
      </c>
      <c r="F602" s="14">
        <v>2793</v>
      </c>
      <c r="G602" s="14">
        <v>1</v>
      </c>
      <c r="H602" s="13">
        <v>0.980000019</v>
      </c>
      <c r="I602" s="14">
        <v>2</v>
      </c>
      <c r="J602" s="11">
        <f>I602*85</f>
        <v>170</v>
      </c>
      <c r="K602" s="11">
        <f>J602-H602</f>
        <v>169.01999998100001</v>
      </c>
      <c r="L602" s="10">
        <f>G602/F602</f>
        <v>3.5803795202291446E-4</v>
      </c>
      <c r="M602" s="14">
        <f>IFERROR(ROUND(I602/G602,2),0)</f>
        <v>2</v>
      </c>
      <c r="N602" s="11">
        <f>IFERROR(H602/G602,0)</f>
        <v>0.980000019</v>
      </c>
      <c r="O602" s="11">
        <f>IFERROR(H602/I602,0)</f>
        <v>0.4900000095</v>
      </c>
      <c r="P602" s="11">
        <f>IFERROR((J602-H602)/H602,0)</f>
        <v>172.4693843919201</v>
      </c>
    </row>
    <row r="603" spans="1:16">
      <c r="A603">
        <v>747489</v>
      </c>
      <c r="B603" t="s">
        <v>161</v>
      </c>
      <c r="C603" t="s">
        <v>3</v>
      </c>
      <c r="D603" t="s">
        <v>1</v>
      </c>
      <c r="E603" s="14">
        <v>2</v>
      </c>
      <c r="F603" s="14">
        <v>4016</v>
      </c>
      <c r="G603" s="14">
        <v>2</v>
      </c>
      <c r="H603" s="13">
        <v>1.480000049</v>
      </c>
      <c r="I603" s="14">
        <v>2</v>
      </c>
      <c r="J603" s="11">
        <f>I603*85</f>
        <v>170</v>
      </c>
      <c r="K603" s="11">
        <f>J603-H603</f>
        <v>168.51999995099999</v>
      </c>
      <c r="L603" s="10">
        <f>G603/F603</f>
        <v>4.9800796812749003E-4</v>
      </c>
      <c r="M603" s="14">
        <f>IFERROR(ROUND(I603/G603,2),0)</f>
        <v>1</v>
      </c>
      <c r="N603" s="11">
        <f>IFERROR(H603/G603,0)</f>
        <v>0.74000002450000002</v>
      </c>
      <c r="O603" s="11">
        <f>IFERROR(H603/I603,0)</f>
        <v>0.74000002450000002</v>
      </c>
      <c r="P603" s="11">
        <f>IFERROR((J603-H603)/H603,0)</f>
        <v>113.86486106190661</v>
      </c>
    </row>
    <row r="604" spans="1:16">
      <c r="A604">
        <v>747514</v>
      </c>
      <c r="B604" t="s">
        <v>161</v>
      </c>
      <c r="C604" t="s">
        <v>3</v>
      </c>
      <c r="D604" t="s">
        <v>1</v>
      </c>
      <c r="E604" s="14">
        <v>16</v>
      </c>
      <c r="F604" s="14">
        <v>14843</v>
      </c>
      <c r="G604" s="14">
        <v>3</v>
      </c>
      <c r="H604" s="13">
        <v>2.9399999380000001</v>
      </c>
      <c r="I604" s="14">
        <v>2</v>
      </c>
      <c r="J604" s="11">
        <f>I604*85</f>
        <v>170</v>
      </c>
      <c r="K604" s="11">
        <f>J604-H604</f>
        <v>167.060000062</v>
      </c>
      <c r="L604" s="10">
        <f>G604/F604</f>
        <v>2.021154753082261E-4</v>
      </c>
      <c r="M604" s="14">
        <f>IFERROR(ROUND(I604/G604,2),0)</f>
        <v>0.67</v>
      </c>
      <c r="N604" s="11">
        <f>IFERROR(H604/G604,0)</f>
        <v>0.97999997933333338</v>
      </c>
      <c r="O604" s="11">
        <f>IFERROR(H604/I604,0)</f>
        <v>1.4699999690000001</v>
      </c>
      <c r="P604" s="11">
        <f>IFERROR((J604-H604)/H604,0)</f>
        <v>56.823130471100029</v>
      </c>
    </row>
    <row r="605" spans="1:16">
      <c r="A605">
        <v>747645</v>
      </c>
      <c r="B605" t="s">
        <v>161</v>
      </c>
      <c r="C605" t="s">
        <v>4</v>
      </c>
      <c r="D605" t="s">
        <v>1</v>
      </c>
      <c r="E605" s="14">
        <v>10</v>
      </c>
      <c r="F605" s="14">
        <v>9674</v>
      </c>
      <c r="G605" s="14">
        <v>3</v>
      </c>
      <c r="H605" s="13">
        <v>4.6000000239999999</v>
      </c>
      <c r="I605" s="14">
        <v>2</v>
      </c>
      <c r="J605" s="11">
        <f>I605*85</f>
        <v>170</v>
      </c>
      <c r="K605" s="11">
        <f>J605-H605</f>
        <v>165.399999976</v>
      </c>
      <c r="L605" s="10">
        <f>G605/F605</f>
        <v>3.1010957204879059E-4</v>
      </c>
      <c r="M605" s="14">
        <f>IFERROR(ROUND(I605/G605,2),0)</f>
        <v>0.67</v>
      </c>
      <c r="N605" s="11">
        <f>IFERROR(H605/G605,0)</f>
        <v>1.5333333413333332</v>
      </c>
      <c r="O605" s="11">
        <f>IFERROR(H605/I605,0)</f>
        <v>2.3000000119999999</v>
      </c>
      <c r="P605" s="11">
        <f>IFERROR((J605-H605)/H605,0)</f>
        <v>35.956521546313802</v>
      </c>
    </row>
    <row r="606" spans="1:16">
      <c r="A606">
        <v>747791</v>
      </c>
      <c r="B606" t="s">
        <v>161</v>
      </c>
      <c r="C606" t="s">
        <v>0</v>
      </c>
      <c r="D606" t="s">
        <v>5</v>
      </c>
      <c r="E606" s="14">
        <v>10</v>
      </c>
      <c r="F606" s="14">
        <v>31393</v>
      </c>
      <c r="G606" s="14">
        <v>8</v>
      </c>
      <c r="H606" s="13">
        <v>10.96000051</v>
      </c>
      <c r="I606" s="14">
        <v>2</v>
      </c>
      <c r="J606" s="11">
        <f>I606*85</f>
        <v>170</v>
      </c>
      <c r="K606" s="11">
        <f>J606-H606</f>
        <v>159.03999949000001</v>
      </c>
      <c r="L606" s="10">
        <f>G606/F606</f>
        <v>2.5483388016436787E-4</v>
      </c>
      <c r="M606" s="14">
        <f>IFERROR(ROUND(I606/G606,2),0)</f>
        <v>0.25</v>
      </c>
      <c r="N606" s="11">
        <f>IFERROR(H606/G606,0)</f>
        <v>1.3700000637500001</v>
      </c>
      <c r="O606" s="11">
        <f>IFERROR(H606/I606,0)</f>
        <v>5.4800002550000002</v>
      </c>
      <c r="P606" s="11">
        <f>IFERROR((J606-H606)/H606,0)</f>
        <v>14.510948183340915</v>
      </c>
    </row>
    <row r="607" spans="1:16">
      <c r="A607">
        <v>747795</v>
      </c>
      <c r="B607" t="s">
        <v>161</v>
      </c>
      <c r="C607" t="s">
        <v>0</v>
      </c>
      <c r="D607" t="s">
        <v>5</v>
      </c>
      <c r="E607" s="14">
        <v>15</v>
      </c>
      <c r="F607" s="14">
        <v>8410</v>
      </c>
      <c r="G607" s="14">
        <v>2</v>
      </c>
      <c r="H607" s="13">
        <v>2.3599998950000001</v>
      </c>
      <c r="I607" s="14">
        <v>2</v>
      </c>
      <c r="J607" s="11">
        <f>I607*85</f>
        <v>170</v>
      </c>
      <c r="K607" s="11">
        <f>J607-H607</f>
        <v>167.64000010500001</v>
      </c>
      <c r="L607" s="10">
        <f>G607/F607</f>
        <v>2.3781212841854935E-4</v>
      </c>
      <c r="M607" s="14">
        <f>IFERROR(ROUND(I607/G607,2),0)</f>
        <v>1</v>
      </c>
      <c r="N607" s="11">
        <f>IFERROR(H607/G607,0)</f>
        <v>1.1799999475</v>
      </c>
      <c r="O607" s="11">
        <f>IFERROR(H607/I607,0)</f>
        <v>1.1799999475</v>
      </c>
      <c r="P607" s="11">
        <f>IFERROR((J607-H607)/H607,0)</f>
        <v>71.033901509982911</v>
      </c>
    </row>
    <row r="608" spans="1:16">
      <c r="A608">
        <v>748007</v>
      </c>
      <c r="B608" t="s">
        <v>161</v>
      </c>
      <c r="C608" t="s">
        <v>2</v>
      </c>
      <c r="D608" t="s">
        <v>5</v>
      </c>
      <c r="E608" s="14">
        <v>27</v>
      </c>
      <c r="F608" s="14">
        <v>10164</v>
      </c>
      <c r="G608" s="14">
        <v>2</v>
      </c>
      <c r="H608" s="13">
        <v>3.7200000289999999</v>
      </c>
      <c r="I608" s="14">
        <v>2</v>
      </c>
      <c r="J608" s="11">
        <f>I608*85</f>
        <v>170</v>
      </c>
      <c r="K608" s="11">
        <f>J608-H608</f>
        <v>166.279999971</v>
      </c>
      <c r="L608" s="10">
        <f>G608/F608</f>
        <v>1.9677292404565131E-4</v>
      </c>
      <c r="M608" s="14">
        <f>IFERROR(ROUND(I608/G608,2),0)</f>
        <v>1</v>
      </c>
      <c r="N608" s="11">
        <f>IFERROR(H608/G608,0)</f>
        <v>1.8600000145</v>
      </c>
      <c r="O608" s="11">
        <f>IFERROR(H608/I608,0)</f>
        <v>1.8600000145</v>
      </c>
      <c r="P608" s="11">
        <f>IFERROR((J608-H608)/H608,0)</f>
        <v>44.698924374927742</v>
      </c>
    </row>
    <row r="609" spans="1:16">
      <c r="A609">
        <v>748087</v>
      </c>
      <c r="B609" t="s">
        <v>161</v>
      </c>
      <c r="C609" t="s">
        <v>3</v>
      </c>
      <c r="D609" t="s">
        <v>5</v>
      </c>
      <c r="E609" s="14">
        <v>16</v>
      </c>
      <c r="F609" s="14">
        <v>29466</v>
      </c>
      <c r="G609" s="14">
        <v>7</v>
      </c>
      <c r="H609" s="13">
        <v>10.849999670000001</v>
      </c>
      <c r="I609" s="14">
        <v>2</v>
      </c>
      <c r="J609" s="11">
        <f>I609*85</f>
        <v>170</v>
      </c>
      <c r="K609" s="11">
        <f>J609-H609</f>
        <v>159.15000033000001</v>
      </c>
      <c r="L609" s="10">
        <f>G609/F609</f>
        <v>2.3756193579040251E-4</v>
      </c>
      <c r="M609" s="14">
        <f>IFERROR(ROUND(I609/G609,2),0)</f>
        <v>0.28999999999999998</v>
      </c>
      <c r="N609" s="11">
        <f>IFERROR(H609/G609,0)</f>
        <v>1.5499999528571429</v>
      </c>
      <c r="O609" s="11">
        <f>IFERROR(H609/I609,0)</f>
        <v>5.4249998350000004</v>
      </c>
      <c r="P609" s="11">
        <f>IFERROR((J609-H609)/H609,0)</f>
        <v>14.66820324152139</v>
      </c>
    </row>
    <row r="610" spans="1:16">
      <c r="A610">
        <v>748091</v>
      </c>
      <c r="B610" t="s">
        <v>161</v>
      </c>
      <c r="C610" t="s">
        <v>3</v>
      </c>
      <c r="D610" t="s">
        <v>5</v>
      </c>
      <c r="E610" s="14">
        <v>16</v>
      </c>
      <c r="F610" s="14">
        <v>41720</v>
      </c>
      <c r="G610" s="14">
        <v>10</v>
      </c>
      <c r="H610" s="13">
        <v>12.06000006</v>
      </c>
      <c r="I610" s="14">
        <v>2</v>
      </c>
      <c r="J610" s="11">
        <f>I610*85</f>
        <v>170</v>
      </c>
      <c r="K610" s="11">
        <f>J610-H610</f>
        <v>157.93999994000001</v>
      </c>
      <c r="L610" s="10">
        <f>G610/F610</f>
        <v>2.3969319271332693E-4</v>
      </c>
      <c r="M610" s="14">
        <f>IFERROR(ROUND(I610/G610,2),0)</f>
        <v>0.2</v>
      </c>
      <c r="N610" s="11">
        <f>IFERROR(H610/G610,0)</f>
        <v>1.206000006</v>
      </c>
      <c r="O610" s="11">
        <f>IFERROR(H610/I610,0)</f>
        <v>6.0300000300000001</v>
      </c>
      <c r="P610" s="11">
        <f>IFERROR((J610-H610)/H610,0)</f>
        <v>13.096185667846505</v>
      </c>
    </row>
    <row r="611" spans="1:16">
      <c r="A611">
        <v>748314</v>
      </c>
      <c r="B611" t="s">
        <v>161</v>
      </c>
      <c r="C611" t="s">
        <v>4</v>
      </c>
      <c r="D611" t="s">
        <v>5</v>
      </c>
      <c r="E611" s="14">
        <v>31</v>
      </c>
      <c r="F611" s="14">
        <v>7821</v>
      </c>
      <c r="G611" s="14">
        <v>4</v>
      </c>
      <c r="H611" s="13">
        <v>6.3400001530000001</v>
      </c>
      <c r="I611" s="14">
        <v>2</v>
      </c>
      <c r="J611" s="11">
        <f>I611*85</f>
        <v>170</v>
      </c>
      <c r="K611" s="11">
        <f>J611-H611</f>
        <v>163.65999984699999</v>
      </c>
      <c r="L611" s="10">
        <f>G611/F611</f>
        <v>5.1144354941823301E-4</v>
      </c>
      <c r="M611" s="14">
        <f>IFERROR(ROUND(I611/G611,2),0)</f>
        <v>0.5</v>
      </c>
      <c r="N611" s="11">
        <f>IFERROR(H611/G611,0)</f>
        <v>1.58500003825</v>
      </c>
      <c r="O611" s="11">
        <f>IFERROR(H611/I611,0)</f>
        <v>3.1700000765</v>
      </c>
      <c r="P611" s="11">
        <f>IFERROR((J611-H611)/H611,0)</f>
        <v>25.813879479097228</v>
      </c>
    </row>
    <row r="612" spans="1:16">
      <c r="A612">
        <v>776323</v>
      </c>
      <c r="B612" t="s">
        <v>161</v>
      </c>
      <c r="C612" t="s">
        <v>4</v>
      </c>
      <c r="D612" t="s">
        <v>5</v>
      </c>
      <c r="E612" s="14">
        <v>16</v>
      </c>
      <c r="F612" s="14">
        <v>99078</v>
      </c>
      <c r="G612" s="14">
        <v>23</v>
      </c>
      <c r="H612" s="13">
        <v>35.799999479999997</v>
      </c>
      <c r="I612" s="14">
        <v>2</v>
      </c>
      <c r="J612" s="11">
        <f>I612*85</f>
        <v>170</v>
      </c>
      <c r="K612" s="11">
        <f>J612-H612</f>
        <v>134.20000052</v>
      </c>
      <c r="L612" s="10">
        <f>G612/F612</f>
        <v>2.3214033387835846E-4</v>
      </c>
      <c r="M612" s="14">
        <f>IFERROR(ROUND(I612/G612,2),0)</f>
        <v>0.09</v>
      </c>
      <c r="N612" s="11">
        <f>IFERROR(H612/G612,0)</f>
        <v>1.5565217165217391</v>
      </c>
      <c r="O612" s="11">
        <f>IFERROR(H612/I612,0)</f>
        <v>17.899999739999998</v>
      </c>
      <c r="P612" s="11">
        <f>IFERROR((J612-H612)/H612,0)</f>
        <v>3.7486034209294354</v>
      </c>
    </row>
    <row r="613" spans="1:16">
      <c r="A613">
        <v>776416</v>
      </c>
      <c r="B613" t="s">
        <v>161</v>
      </c>
      <c r="C613" t="s">
        <v>4</v>
      </c>
      <c r="D613" t="s">
        <v>5</v>
      </c>
      <c r="E613" s="14">
        <v>19</v>
      </c>
      <c r="F613" s="14">
        <v>3659</v>
      </c>
      <c r="G613" s="14">
        <v>1</v>
      </c>
      <c r="H613" s="13">
        <v>0.49000000999999999</v>
      </c>
      <c r="I613" s="14">
        <v>2</v>
      </c>
      <c r="J613" s="11">
        <f>I613*85</f>
        <v>170</v>
      </c>
      <c r="K613" s="11">
        <f>J613-H613</f>
        <v>169.50999999000001</v>
      </c>
      <c r="L613" s="10">
        <f>G613/F613</f>
        <v>2.7329871549603714E-4</v>
      </c>
      <c r="M613" s="14">
        <f>IFERROR(ROUND(I613/G613,2),0)</f>
        <v>2</v>
      </c>
      <c r="N613" s="11">
        <f>IFERROR(H613/G613,0)</f>
        <v>0.49000000999999999</v>
      </c>
      <c r="O613" s="11">
        <f>IFERROR(H613/I613,0)</f>
        <v>0.24500000499999999</v>
      </c>
      <c r="P613" s="11">
        <f>IFERROR((J613-H613)/H613,0)</f>
        <v>345.9387684298211</v>
      </c>
    </row>
    <row r="614" spans="1:16">
      <c r="A614">
        <v>776464</v>
      </c>
      <c r="B614" t="s">
        <v>161</v>
      </c>
      <c r="C614" t="s">
        <v>4</v>
      </c>
      <c r="D614" t="s">
        <v>5</v>
      </c>
      <c r="E614" s="14">
        <v>29</v>
      </c>
      <c r="F614" s="14">
        <v>7550</v>
      </c>
      <c r="G614" s="14">
        <v>1</v>
      </c>
      <c r="H614" s="13">
        <v>1.6799999480000001</v>
      </c>
      <c r="I614" s="14">
        <v>2</v>
      </c>
      <c r="J614" s="11">
        <f>I614*85</f>
        <v>170</v>
      </c>
      <c r="K614" s="11">
        <f>J614-H614</f>
        <v>168.32000005200001</v>
      </c>
      <c r="L614" s="10">
        <f>G614/F614</f>
        <v>1.3245033112582781E-4</v>
      </c>
      <c r="M614" s="14">
        <f>IFERROR(ROUND(I614/G614,2),0)</f>
        <v>2</v>
      </c>
      <c r="N614" s="11">
        <f>IFERROR(H614/G614,0)</f>
        <v>1.6799999480000001</v>
      </c>
      <c r="O614" s="11">
        <f>IFERROR(H614/I614,0)</f>
        <v>0.83999997400000004</v>
      </c>
      <c r="P614" s="11">
        <f>IFERROR((J614-H614)/H614,0)</f>
        <v>100.19047932256245</v>
      </c>
    </row>
    <row r="615" spans="1:16">
      <c r="A615">
        <v>776469</v>
      </c>
      <c r="B615" t="s">
        <v>161</v>
      </c>
      <c r="C615" t="s">
        <v>4</v>
      </c>
      <c r="D615" t="s">
        <v>5</v>
      </c>
      <c r="E615" s="14">
        <v>28</v>
      </c>
      <c r="F615" s="14">
        <v>45397</v>
      </c>
      <c r="G615" s="14">
        <v>15</v>
      </c>
      <c r="H615" s="13">
        <v>25.419999359999998</v>
      </c>
      <c r="I615" s="14">
        <v>2</v>
      </c>
      <c r="J615" s="11">
        <f>I615*85</f>
        <v>170</v>
      </c>
      <c r="K615" s="11">
        <f>J615-H615</f>
        <v>144.58000064000001</v>
      </c>
      <c r="L615" s="10">
        <f>G615/F615</f>
        <v>3.3041830957992817E-4</v>
      </c>
      <c r="M615" s="14">
        <f>IFERROR(ROUND(I615/G615,2),0)</f>
        <v>0.13</v>
      </c>
      <c r="N615" s="11">
        <f>IFERROR(H615/G615,0)</f>
        <v>1.6946666239999999</v>
      </c>
      <c r="O615" s="11">
        <f>IFERROR(H615/I615,0)</f>
        <v>12.709999679999999</v>
      </c>
      <c r="P615" s="11">
        <f>IFERROR((J615-H615)/H615,0)</f>
        <v>5.6876476900115867</v>
      </c>
    </row>
    <row r="616" spans="1:16">
      <c r="A616">
        <v>776473</v>
      </c>
      <c r="B616" t="s">
        <v>161</v>
      </c>
      <c r="C616" t="s">
        <v>0</v>
      </c>
      <c r="D616" t="s">
        <v>1</v>
      </c>
      <c r="E616" s="14">
        <v>16</v>
      </c>
      <c r="F616" s="14">
        <v>23086</v>
      </c>
      <c r="G616" s="14">
        <v>2</v>
      </c>
      <c r="H616" s="13">
        <v>3.3100000619999999</v>
      </c>
      <c r="I616" s="14">
        <v>2</v>
      </c>
      <c r="J616" s="11">
        <f>I616*85</f>
        <v>170</v>
      </c>
      <c r="K616" s="11">
        <f>J616-H616</f>
        <v>166.689999938</v>
      </c>
      <c r="L616" s="10">
        <f>G616/F616</f>
        <v>8.6632591180802222E-5</v>
      </c>
      <c r="M616" s="14">
        <f>IFERROR(ROUND(I616/G616,2),0)</f>
        <v>1</v>
      </c>
      <c r="N616" s="11">
        <f>IFERROR(H616/G616,0)</f>
        <v>1.6550000309999999</v>
      </c>
      <c r="O616" s="11">
        <f>IFERROR(H616/I616,0)</f>
        <v>1.6550000309999999</v>
      </c>
      <c r="P616" s="11">
        <f>IFERROR((J616-H616)/H616,0)</f>
        <v>50.359515654293062</v>
      </c>
    </row>
    <row r="617" spans="1:16">
      <c r="A617">
        <v>776515</v>
      </c>
      <c r="B617" t="s">
        <v>161</v>
      </c>
      <c r="C617" t="s">
        <v>4</v>
      </c>
      <c r="D617" t="s">
        <v>5</v>
      </c>
      <c r="E617" s="14">
        <v>65</v>
      </c>
      <c r="F617" s="14">
        <v>12706</v>
      </c>
      <c r="G617" s="14">
        <v>3</v>
      </c>
      <c r="H617" s="13">
        <v>4.98999989</v>
      </c>
      <c r="I617" s="14">
        <v>2</v>
      </c>
      <c r="J617" s="11">
        <f>I617*85</f>
        <v>170</v>
      </c>
      <c r="K617" s="11">
        <f>J617-H617</f>
        <v>165.01000010999999</v>
      </c>
      <c r="L617" s="10">
        <f>G617/F617</f>
        <v>2.3610892491736187E-4</v>
      </c>
      <c r="M617" s="14">
        <f>IFERROR(ROUND(I617/G617,2),0)</f>
        <v>0.67</v>
      </c>
      <c r="N617" s="11">
        <f>IFERROR(H617/G617,0)</f>
        <v>1.6633332966666667</v>
      </c>
      <c r="O617" s="11">
        <f>IFERROR(H617/I617,0)</f>
        <v>2.494999945</v>
      </c>
      <c r="P617" s="11">
        <f>IFERROR((J617-H617)/H617,0)</f>
        <v>33.068137023546107</v>
      </c>
    </row>
    <row r="618" spans="1:16">
      <c r="A618">
        <v>776533</v>
      </c>
      <c r="B618" t="s">
        <v>161</v>
      </c>
      <c r="C618" t="s">
        <v>4</v>
      </c>
      <c r="D618" t="s">
        <v>5</v>
      </c>
      <c r="E618" s="14">
        <v>63</v>
      </c>
      <c r="F618" s="14">
        <v>63927</v>
      </c>
      <c r="G618" s="14">
        <v>16</v>
      </c>
      <c r="H618" s="13">
        <v>25.520000459999999</v>
      </c>
      <c r="I618" s="14">
        <v>2</v>
      </c>
      <c r="J618" s="11">
        <f>I618*85</f>
        <v>170</v>
      </c>
      <c r="K618" s="11">
        <f>J618-H618</f>
        <v>144.47999953999999</v>
      </c>
      <c r="L618" s="10">
        <f>G618/F618</f>
        <v>2.5028548187776685E-4</v>
      </c>
      <c r="M618" s="14">
        <f>IFERROR(ROUND(I618/G618,2),0)</f>
        <v>0.13</v>
      </c>
      <c r="N618" s="11">
        <f>IFERROR(H618/G618,0)</f>
        <v>1.5950000287499999</v>
      </c>
      <c r="O618" s="11">
        <f>IFERROR(H618/I618,0)</f>
        <v>12.760000229999999</v>
      </c>
      <c r="P618" s="11">
        <f>IFERROR((J618-H618)/H618,0)</f>
        <v>5.661441886196581</v>
      </c>
    </row>
    <row r="619" spans="1:16">
      <c r="A619">
        <v>776623</v>
      </c>
      <c r="B619" t="s">
        <v>161</v>
      </c>
      <c r="C619" t="s">
        <v>4</v>
      </c>
      <c r="D619" t="s">
        <v>1</v>
      </c>
      <c r="E619" s="14">
        <v>64</v>
      </c>
      <c r="F619" s="14">
        <v>19353</v>
      </c>
      <c r="G619" s="14">
        <v>6</v>
      </c>
      <c r="H619" s="13">
        <v>9.4799998999999993</v>
      </c>
      <c r="I619" s="14">
        <v>2</v>
      </c>
      <c r="J619" s="11">
        <f>I619*85</f>
        <v>170</v>
      </c>
      <c r="K619" s="11">
        <f>J619-H619</f>
        <v>160.5200001</v>
      </c>
      <c r="L619" s="10">
        <f>G619/F619</f>
        <v>3.1002945279801579E-4</v>
      </c>
      <c r="M619" s="14">
        <f>IFERROR(ROUND(I619/G619,2),0)</f>
        <v>0.33</v>
      </c>
      <c r="N619" s="11">
        <f>IFERROR(H619/G619,0)</f>
        <v>1.5799999833333331</v>
      </c>
      <c r="O619" s="11">
        <f>IFERROR(H619/I619,0)</f>
        <v>4.7399999499999996</v>
      </c>
      <c r="P619" s="11">
        <f>IFERROR((J619-H619)/H619,0)</f>
        <v>16.932489640638078</v>
      </c>
    </row>
    <row r="620" spans="1:16">
      <c r="A620">
        <v>776663</v>
      </c>
      <c r="B620" t="s">
        <v>161</v>
      </c>
      <c r="C620" t="s">
        <v>0</v>
      </c>
      <c r="D620" t="s">
        <v>1</v>
      </c>
      <c r="E620" s="14">
        <v>16</v>
      </c>
      <c r="F620" s="14">
        <v>15753</v>
      </c>
      <c r="G620" s="14">
        <v>1</v>
      </c>
      <c r="H620" s="13">
        <v>0.56999999300000004</v>
      </c>
      <c r="I620" s="14">
        <v>2</v>
      </c>
      <c r="J620" s="11">
        <f>I620*85</f>
        <v>170</v>
      </c>
      <c r="K620" s="11">
        <f>J620-H620</f>
        <v>169.43000000699999</v>
      </c>
      <c r="L620" s="10">
        <f>G620/F620</f>
        <v>6.3479972068812291E-5</v>
      </c>
      <c r="M620" s="14">
        <f>IFERROR(ROUND(I620/G620,2),0)</f>
        <v>2</v>
      </c>
      <c r="N620" s="11">
        <f>IFERROR(H620/G620,0)</f>
        <v>0.56999999300000004</v>
      </c>
      <c r="O620" s="11">
        <f>IFERROR(H620/I620,0)</f>
        <v>0.28499999650000002</v>
      </c>
      <c r="P620" s="11">
        <f>IFERROR((J620-H620)/H620,0)</f>
        <v>297.24561769775318</v>
      </c>
    </row>
    <row r="621" spans="1:16">
      <c r="A621">
        <v>776668</v>
      </c>
      <c r="B621" t="s">
        <v>161</v>
      </c>
      <c r="C621" t="s">
        <v>3</v>
      </c>
      <c r="D621" t="s">
        <v>1</v>
      </c>
      <c r="E621" s="14">
        <v>19</v>
      </c>
      <c r="F621" s="14">
        <v>3523</v>
      </c>
      <c r="G621" s="14">
        <v>1</v>
      </c>
      <c r="H621" s="13">
        <v>1.809999943</v>
      </c>
      <c r="I621" s="14">
        <v>2</v>
      </c>
      <c r="J621" s="11">
        <f>I621*85</f>
        <v>170</v>
      </c>
      <c r="K621" s="11">
        <f>J621-H621</f>
        <v>168.19000005699999</v>
      </c>
      <c r="L621" s="10">
        <f>G621/F621</f>
        <v>2.838489923360772E-4</v>
      </c>
      <c r="M621" s="14">
        <f>IFERROR(ROUND(I621/G621,2),0)</f>
        <v>2</v>
      </c>
      <c r="N621" s="11">
        <f>IFERROR(H621/G621,0)</f>
        <v>1.809999943</v>
      </c>
      <c r="O621" s="11">
        <f>IFERROR(H621/I621,0)</f>
        <v>0.9049999715</v>
      </c>
      <c r="P621" s="11">
        <f>IFERROR((J621-H621)/H621,0)</f>
        <v>92.922654891486914</v>
      </c>
    </row>
    <row r="622" spans="1:16">
      <c r="A622">
        <v>776696</v>
      </c>
      <c r="B622" t="s">
        <v>161</v>
      </c>
      <c r="C622" t="s">
        <v>0</v>
      </c>
      <c r="D622" t="s">
        <v>1</v>
      </c>
      <c r="E622" s="14">
        <v>10</v>
      </c>
      <c r="F622" s="14">
        <v>7966</v>
      </c>
      <c r="G622" s="14">
        <v>1</v>
      </c>
      <c r="H622" s="13">
        <v>1.1799999480000001</v>
      </c>
      <c r="I622" s="14">
        <v>2</v>
      </c>
      <c r="J622" s="11">
        <f>I622*85</f>
        <v>170</v>
      </c>
      <c r="K622" s="11">
        <f>J622-H622</f>
        <v>168.82000005200001</v>
      </c>
      <c r="L622" s="10">
        <f>G622/F622</f>
        <v>1.2553351744915893E-4</v>
      </c>
      <c r="M622" s="14">
        <f>IFERROR(ROUND(I622/G622,2),0)</f>
        <v>2</v>
      </c>
      <c r="N622" s="11">
        <f>IFERROR(H622/G622,0)</f>
        <v>1.1799999480000001</v>
      </c>
      <c r="O622" s="11">
        <f>IFERROR(H622/I622,0)</f>
        <v>0.58999997400000004</v>
      </c>
      <c r="P622" s="11">
        <f>IFERROR((J622-H622)/H622,0)</f>
        <v>143.06780295892014</v>
      </c>
    </row>
    <row r="623" spans="1:16">
      <c r="A623">
        <v>776699</v>
      </c>
      <c r="B623" t="s">
        <v>161</v>
      </c>
      <c r="C623" t="s">
        <v>0</v>
      </c>
      <c r="D623" t="s">
        <v>1</v>
      </c>
      <c r="E623" s="14">
        <v>10</v>
      </c>
      <c r="F623" s="14">
        <v>8213</v>
      </c>
      <c r="G623" s="14">
        <v>1</v>
      </c>
      <c r="H623" s="13">
        <v>1.3799999949999999</v>
      </c>
      <c r="I623" s="14">
        <v>2</v>
      </c>
      <c r="J623" s="11">
        <f>I623*85</f>
        <v>170</v>
      </c>
      <c r="K623" s="11">
        <f>J623-H623</f>
        <v>168.62000000500001</v>
      </c>
      <c r="L623" s="10">
        <f>G623/F623</f>
        <v>1.2175818823815901E-4</v>
      </c>
      <c r="M623" s="14">
        <f>IFERROR(ROUND(I623/G623,2),0)</f>
        <v>2</v>
      </c>
      <c r="N623" s="11">
        <f>IFERROR(H623/G623,0)</f>
        <v>1.3799999949999999</v>
      </c>
      <c r="O623" s="11">
        <f>IFERROR(H623/I623,0)</f>
        <v>0.68999999749999996</v>
      </c>
      <c r="P623" s="11">
        <f>IFERROR((J623-H623)/H623,0)</f>
        <v>122.18840624343626</v>
      </c>
    </row>
    <row r="624" spans="1:16">
      <c r="A624">
        <v>776799</v>
      </c>
      <c r="B624" t="s">
        <v>161</v>
      </c>
      <c r="C624" t="s">
        <v>4</v>
      </c>
      <c r="D624" t="s">
        <v>1</v>
      </c>
      <c r="E624" s="14">
        <v>20</v>
      </c>
      <c r="F624" s="14">
        <v>10257</v>
      </c>
      <c r="G624" s="14">
        <v>3</v>
      </c>
      <c r="H624" s="13">
        <v>3.579999924</v>
      </c>
      <c r="I624" s="14">
        <v>2</v>
      </c>
      <c r="J624" s="11">
        <f>I624*85</f>
        <v>170</v>
      </c>
      <c r="K624" s="11">
        <f>J624-H624</f>
        <v>166.42000007600001</v>
      </c>
      <c r="L624" s="10">
        <f>G624/F624</f>
        <v>2.9248318221702252E-4</v>
      </c>
      <c r="M624" s="14">
        <f>IFERROR(ROUND(I624/G624,2),0)</f>
        <v>0.67</v>
      </c>
      <c r="N624" s="11">
        <f>IFERROR(H624/G624,0)</f>
        <v>1.1933333079999999</v>
      </c>
      <c r="O624" s="11">
        <f>IFERROR(H624/I624,0)</f>
        <v>1.789999962</v>
      </c>
      <c r="P624" s="11">
        <f>IFERROR((J624-H624)/H624,0)</f>
        <v>46.486034527636491</v>
      </c>
    </row>
    <row r="625" spans="1:16">
      <c r="A625">
        <v>776928</v>
      </c>
      <c r="B625" t="s">
        <v>161</v>
      </c>
      <c r="C625" t="s">
        <v>2</v>
      </c>
      <c r="D625" t="s">
        <v>1</v>
      </c>
      <c r="E625" s="14">
        <v>10</v>
      </c>
      <c r="F625" s="14">
        <v>9750</v>
      </c>
      <c r="G625" s="14">
        <v>2</v>
      </c>
      <c r="H625" s="13">
        <v>1.5</v>
      </c>
      <c r="I625" s="14">
        <v>2</v>
      </c>
      <c r="J625" s="11">
        <f>I625*85</f>
        <v>170</v>
      </c>
      <c r="K625" s="11">
        <f>J625-H625</f>
        <v>168.5</v>
      </c>
      <c r="L625" s="10">
        <f>G625/F625</f>
        <v>2.0512820512820512E-4</v>
      </c>
      <c r="M625" s="14">
        <f>IFERROR(ROUND(I625/G625,2),0)</f>
        <v>1</v>
      </c>
      <c r="N625" s="11">
        <f>IFERROR(H625/G625,0)</f>
        <v>0.75</v>
      </c>
      <c r="O625" s="11">
        <f>IFERROR(H625/I625,0)</f>
        <v>0.75</v>
      </c>
      <c r="P625" s="11">
        <f>IFERROR((J625-H625)/H625,0)</f>
        <v>112.33333333333333</v>
      </c>
    </row>
    <row r="626" spans="1:16">
      <c r="A626">
        <v>777105</v>
      </c>
      <c r="B626" t="s">
        <v>161</v>
      </c>
      <c r="C626" t="s">
        <v>4</v>
      </c>
      <c r="D626" t="s">
        <v>1</v>
      </c>
      <c r="E626" s="14">
        <v>63</v>
      </c>
      <c r="F626" s="14">
        <v>4333</v>
      </c>
      <c r="G626" s="14">
        <v>1</v>
      </c>
      <c r="H626" s="13">
        <v>0.18000000699999999</v>
      </c>
      <c r="I626" s="14">
        <v>2</v>
      </c>
      <c r="J626" s="11">
        <f>I626*85</f>
        <v>170</v>
      </c>
      <c r="K626" s="11">
        <f>J626-H626</f>
        <v>169.81999999300001</v>
      </c>
      <c r="L626" s="10">
        <f>G626/F626</f>
        <v>2.3078698361412417E-4</v>
      </c>
      <c r="M626" s="14">
        <f>IFERROR(ROUND(I626/G626,2),0)</f>
        <v>2</v>
      </c>
      <c r="N626" s="11">
        <f>IFERROR(H626/G626,0)</f>
        <v>0.18000000699999999</v>
      </c>
      <c r="O626" s="11">
        <f>IFERROR(H626/I626,0)</f>
        <v>9.0000003499999995E-2</v>
      </c>
      <c r="P626" s="11">
        <f>IFERROR((J626-H626)/H626,0)</f>
        <v>943.44440771605093</v>
      </c>
    </row>
    <row r="627" spans="1:16">
      <c r="A627">
        <v>777187</v>
      </c>
      <c r="B627" t="s">
        <v>161</v>
      </c>
      <c r="C627" t="s">
        <v>3</v>
      </c>
      <c r="D627" t="s">
        <v>1</v>
      </c>
      <c r="E627" s="14">
        <v>27</v>
      </c>
      <c r="F627" s="14">
        <v>11292</v>
      </c>
      <c r="G627" s="14">
        <v>3</v>
      </c>
      <c r="H627" s="13">
        <v>5.3899998660000001</v>
      </c>
      <c r="I627" s="14">
        <v>2</v>
      </c>
      <c r="J627" s="11">
        <f>I627*85</f>
        <v>170</v>
      </c>
      <c r="K627" s="11">
        <f>J627-H627</f>
        <v>164.61000013399999</v>
      </c>
      <c r="L627" s="10">
        <f>G627/F627</f>
        <v>2.6567481402763017E-4</v>
      </c>
      <c r="M627" s="14">
        <f>IFERROR(ROUND(I627/G627,2),0)</f>
        <v>0.67</v>
      </c>
      <c r="N627" s="11">
        <f>IFERROR(H627/G627,0)</f>
        <v>1.796666622</v>
      </c>
      <c r="O627" s="11">
        <f>IFERROR(H627/I627,0)</f>
        <v>2.6949999330000001</v>
      </c>
      <c r="P627" s="11">
        <f>IFERROR((J627-H627)/H627,0)</f>
        <v>30.539889466854394</v>
      </c>
    </row>
    <row r="628" spans="1:16">
      <c r="A628">
        <v>777235</v>
      </c>
      <c r="B628" t="s">
        <v>161</v>
      </c>
      <c r="C628" t="s">
        <v>0</v>
      </c>
      <c r="D628" t="s">
        <v>1</v>
      </c>
      <c r="E628" s="14">
        <v>65</v>
      </c>
      <c r="F628" s="14">
        <v>2883</v>
      </c>
      <c r="G628" s="14">
        <v>1</v>
      </c>
      <c r="H628" s="13">
        <v>0.99000001000000004</v>
      </c>
      <c r="I628" s="14">
        <v>2</v>
      </c>
      <c r="J628" s="11">
        <f>I628*85</f>
        <v>170</v>
      </c>
      <c r="K628" s="11">
        <f>J628-H628</f>
        <v>169.00999999000001</v>
      </c>
      <c r="L628" s="10">
        <f>G628/F628</f>
        <v>3.4686090877558099E-4</v>
      </c>
      <c r="M628" s="14">
        <f>IFERROR(ROUND(I628/G628,2),0)</f>
        <v>2</v>
      </c>
      <c r="N628" s="11">
        <f>IFERROR(H628/G628,0)</f>
        <v>0.99000001000000004</v>
      </c>
      <c r="O628" s="11">
        <f>IFERROR(H628/I628,0)</f>
        <v>0.49500000500000002</v>
      </c>
      <c r="P628" s="11">
        <f>IFERROR((J628-H628)/H628,0)</f>
        <v>170.71716998265487</v>
      </c>
    </row>
    <row r="629" spans="1:16">
      <c r="A629">
        <v>777261</v>
      </c>
      <c r="B629" t="s">
        <v>161</v>
      </c>
      <c r="C629" t="s">
        <v>3</v>
      </c>
      <c r="D629" t="s">
        <v>1</v>
      </c>
      <c r="E629" s="14">
        <v>29</v>
      </c>
      <c r="F629" s="14">
        <v>19603</v>
      </c>
      <c r="G629" s="14">
        <v>4</v>
      </c>
      <c r="H629" s="13">
        <v>5.2799999709999996</v>
      </c>
      <c r="I629" s="14">
        <v>2</v>
      </c>
      <c r="J629" s="11">
        <f>I629*85</f>
        <v>170</v>
      </c>
      <c r="K629" s="11">
        <f>J629-H629</f>
        <v>164.720000029</v>
      </c>
      <c r="L629" s="10">
        <f>G629/F629</f>
        <v>2.0405040044891087E-4</v>
      </c>
      <c r="M629" s="14">
        <f>IFERROR(ROUND(I629/G629,2),0)</f>
        <v>0.5</v>
      </c>
      <c r="N629" s="11">
        <f>IFERROR(H629/G629,0)</f>
        <v>1.3199999927499999</v>
      </c>
      <c r="O629" s="11">
        <f>IFERROR(H629/I629,0)</f>
        <v>2.6399999854999998</v>
      </c>
      <c r="P629" s="11">
        <f>IFERROR((J629-H629)/H629,0)</f>
        <v>31.196969873809117</v>
      </c>
    </row>
    <row r="630" spans="1:16">
      <c r="A630">
        <v>777398</v>
      </c>
      <c r="B630" t="s">
        <v>161</v>
      </c>
      <c r="C630" t="s">
        <v>2</v>
      </c>
      <c r="D630" t="s">
        <v>1</v>
      </c>
      <c r="E630" s="14">
        <v>24</v>
      </c>
      <c r="F630" s="14">
        <v>3029</v>
      </c>
      <c r="G630" s="14">
        <v>1</v>
      </c>
      <c r="H630" s="13">
        <v>1.0499999520000001</v>
      </c>
      <c r="I630" s="14">
        <v>2</v>
      </c>
      <c r="J630" s="11">
        <f>I630*85</f>
        <v>170</v>
      </c>
      <c r="K630" s="11">
        <f>J630-H630</f>
        <v>168.95000004799999</v>
      </c>
      <c r="L630" s="10">
        <f>G630/F630</f>
        <v>3.3014196104324861E-4</v>
      </c>
      <c r="M630" s="14">
        <f>IFERROR(ROUND(I630/G630,2),0)</f>
        <v>2</v>
      </c>
      <c r="N630" s="11">
        <f>IFERROR(H630/G630,0)</f>
        <v>1.0499999520000001</v>
      </c>
      <c r="O630" s="11">
        <f>IFERROR(H630/I630,0)</f>
        <v>0.52499997600000003</v>
      </c>
      <c r="P630" s="11">
        <f>IFERROR((J630-H630)/H630,0)</f>
        <v>160.90476930612277</v>
      </c>
    </row>
    <row r="631" spans="1:16">
      <c r="A631">
        <v>777410</v>
      </c>
      <c r="B631" t="s">
        <v>161</v>
      </c>
      <c r="C631" t="s">
        <v>4</v>
      </c>
      <c r="D631" t="s">
        <v>1</v>
      </c>
      <c r="E631" s="14">
        <v>26</v>
      </c>
      <c r="F631" s="14">
        <v>3490</v>
      </c>
      <c r="G631" s="14">
        <v>1</v>
      </c>
      <c r="H631" s="13">
        <v>1.3400000329999999</v>
      </c>
      <c r="I631" s="14">
        <v>2</v>
      </c>
      <c r="J631" s="11">
        <f>I631*85</f>
        <v>170</v>
      </c>
      <c r="K631" s="11">
        <f>J631-H631</f>
        <v>168.659999967</v>
      </c>
      <c r="L631" s="10">
        <f>G631/F631</f>
        <v>2.8653295128939826E-4</v>
      </c>
      <c r="M631" s="14">
        <f>IFERROR(ROUND(I631/G631,2),0)</f>
        <v>2</v>
      </c>
      <c r="N631" s="11">
        <f>IFERROR(H631/G631,0)</f>
        <v>1.3400000329999999</v>
      </c>
      <c r="O631" s="11">
        <f>IFERROR(H631/I631,0)</f>
        <v>0.67000001649999996</v>
      </c>
      <c r="P631" s="11">
        <f>IFERROR((J631-H631)/H631,0)</f>
        <v>125.86566851748728</v>
      </c>
    </row>
    <row r="632" spans="1:16">
      <c r="A632">
        <v>777495</v>
      </c>
      <c r="B632" t="s">
        <v>161</v>
      </c>
      <c r="C632" t="s">
        <v>3</v>
      </c>
      <c r="D632" t="s">
        <v>1</v>
      </c>
      <c r="E632" s="14">
        <v>19</v>
      </c>
      <c r="F632" s="14">
        <v>19581</v>
      </c>
      <c r="G632" s="14">
        <v>7</v>
      </c>
      <c r="H632" s="13">
        <v>10.42999983</v>
      </c>
      <c r="I632" s="14">
        <v>2</v>
      </c>
      <c r="J632" s="11">
        <f>I632*85</f>
        <v>170</v>
      </c>
      <c r="K632" s="11">
        <f>J632-H632</f>
        <v>159.57000017000001</v>
      </c>
      <c r="L632" s="10">
        <f>G632/F632</f>
        <v>3.57489402992697E-4</v>
      </c>
      <c r="M632" s="14">
        <f>IFERROR(ROUND(I632/G632,2),0)</f>
        <v>0.28999999999999998</v>
      </c>
      <c r="N632" s="11">
        <f>IFERROR(H632/G632,0)</f>
        <v>1.4899999757142857</v>
      </c>
      <c r="O632" s="11">
        <f>IFERROR(H632/I632,0)</f>
        <v>5.2149999149999999</v>
      </c>
      <c r="P632" s="11">
        <f>IFERROR((J632-H632)/H632,0)</f>
        <v>15.299137370168108</v>
      </c>
    </row>
    <row r="633" spans="1:16">
      <c r="A633">
        <v>777627</v>
      </c>
      <c r="B633" t="s">
        <v>161</v>
      </c>
      <c r="C633" t="s">
        <v>4</v>
      </c>
      <c r="D633" t="s">
        <v>1</v>
      </c>
      <c r="E633" s="14">
        <v>16</v>
      </c>
      <c r="F633" s="14">
        <v>157534</v>
      </c>
      <c r="G633" s="14">
        <v>33</v>
      </c>
      <c r="H633" s="13">
        <v>56.190000769999997</v>
      </c>
      <c r="I633" s="14">
        <v>2</v>
      </c>
      <c r="J633" s="11">
        <f>I633*85</f>
        <v>170</v>
      </c>
      <c r="K633" s="11">
        <f>J633-H633</f>
        <v>113.80999923</v>
      </c>
      <c r="L633" s="10">
        <f>G633/F633</f>
        <v>2.0947858874909543E-4</v>
      </c>
      <c r="M633" s="14">
        <f>IFERROR(ROUND(I633/G633,2),0)</f>
        <v>0.06</v>
      </c>
      <c r="N633" s="11">
        <f>IFERROR(H633/G633,0)</f>
        <v>1.7027272960606059</v>
      </c>
      <c r="O633" s="11">
        <f>IFERROR(H633/I633,0)</f>
        <v>28.095000384999999</v>
      </c>
      <c r="P633" s="11">
        <f>IFERROR((J633-H633)/H633,0)</f>
        <v>2.0254493267557221</v>
      </c>
    </row>
    <row r="634" spans="1:16">
      <c r="A634">
        <v>777742</v>
      </c>
      <c r="B634" t="s">
        <v>161</v>
      </c>
      <c r="C634" t="s">
        <v>2</v>
      </c>
      <c r="D634" t="s">
        <v>1</v>
      </c>
      <c r="E634" s="14">
        <v>64</v>
      </c>
      <c r="F634" s="14">
        <v>4726</v>
      </c>
      <c r="G634" s="14">
        <v>1</v>
      </c>
      <c r="H634" s="13">
        <v>1.8300000430000001</v>
      </c>
      <c r="I634" s="14">
        <v>2</v>
      </c>
      <c r="J634" s="11">
        <f>I634*85</f>
        <v>170</v>
      </c>
      <c r="K634" s="11">
        <f>J634-H634</f>
        <v>168.16999995699999</v>
      </c>
      <c r="L634" s="10">
        <f>G634/F634</f>
        <v>2.1159542953872197E-4</v>
      </c>
      <c r="M634" s="14">
        <f>IFERROR(ROUND(I634/G634,2),0)</f>
        <v>2</v>
      </c>
      <c r="N634" s="11">
        <f>IFERROR(H634/G634,0)</f>
        <v>1.8300000430000001</v>
      </c>
      <c r="O634" s="11">
        <f>IFERROR(H634/I634,0)</f>
        <v>0.91500002150000004</v>
      </c>
      <c r="P634" s="11">
        <f>IFERROR((J634-H634)/H634,0)</f>
        <v>91.896172680581728</v>
      </c>
    </row>
    <row r="635" spans="1:16">
      <c r="A635">
        <v>777758</v>
      </c>
      <c r="B635" t="s">
        <v>161</v>
      </c>
      <c r="C635" t="s">
        <v>0</v>
      </c>
      <c r="D635" t="s">
        <v>1</v>
      </c>
      <c r="E635" s="14">
        <v>19</v>
      </c>
      <c r="F635" s="14">
        <v>5209</v>
      </c>
      <c r="G635" s="14">
        <v>1</v>
      </c>
      <c r="H635" s="13">
        <v>0.959999979</v>
      </c>
      <c r="I635" s="14">
        <v>2</v>
      </c>
      <c r="J635" s="11">
        <f>I635*85</f>
        <v>170</v>
      </c>
      <c r="K635" s="11">
        <f>J635-H635</f>
        <v>169.040000021</v>
      </c>
      <c r="L635" s="10">
        <f>G635/F635</f>
        <v>1.9197542714532539E-4</v>
      </c>
      <c r="M635" s="14">
        <f>IFERROR(ROUND(I635/G635,2),0)</f>
        <v>2</v>
      </c>
      <c r="N635" s="11">
        <f>IFERROR(H635/G635,0)</f>
        <v>0.959999979</v>
      </c>
      <c r="O635" s="11">
        <f>IFERROR(H635/I635,0)</f>
        <v>0.4799999895</v>
      </c>
      <c r="P635" s="11">
        <f>IFERROR((J635-H635)/H635,0)</f>
        <v>176.08333720703132</v>
      </c>
    </row>
    <row r="636" spans="1:16">
      <c r="A636">
        <v>778048</v>
      </c>
      <c r="B636" t="s">
        <v>161</v>
      </c>
      <c r="C636" t="s">
        <v>0</v>
      </c>
      <c r="D636" t="s">
        <v>1</v>
      </c>
      <c r="E636" s="14">
        <v>27</v>
      </c>
      <c r="F636" s="14">
        <v>56615</v>
      </c>
      <c r="G636" s="14">
        <v>12</v>
      </c>
      <c r="H636" s="13">
        <v>19.88000035</v>
      </c>
      <c r="I636" s="14">
        <v>2</v>
      </c>
      <c r="J636" s="11">
        <f>I636*85</f>
        <v>170</v>
      </c>
      <c r="K636" s="11">
        <f>J636-H636</f>
        <v>150.11999965000001</v>
      </c>
      <c r="L636" s="10">
        <f>G636/F636</f>
        <v>2.1195796167093527E-4</v>
      </c>
      <c r="M636" s="14">
        <f>IFERROR(ROUND(I636/G636,2),0)</f>
        <v>0.17</v>
      </c>
      <c r="N636" s="11">
        <f>IFERROR(H636/G636,0)</f>
        <v>1.6566666958333334</v>
      </c>
      <c r="O636" s="11">
        <f>IFERROR(H636/I636,0)</f>
        <v>9.9400001749999998</v>
      </c>
      <c r="P636" s="11">
        <f>IFERROR((J636-H636)/H636,0)</f>
        <v>7.5513076965313042</v>
      </c>
    </row>
    <row r="637" spans="1:16">
      <c r="A637">
        <v>778085</v>
      </c>
      <c r="B637" t="s">
        <v>161</v>
      </c>
      <c r="C637" t="s">
        <v>0</v>
      </c>
      <c r="D637" t="s">
        <v>1</v>
      </c>
      <c r="E637" s="14">
        <v>26</v>
      </c>
      <c r="F637" s="14">
        <v>11735</v>
      </c>
      <c r="G637" s="14">
        <v>3</v>
      </c>
      <c r="H637" s="13">
        <v>4.5299999709999996</v>
      </c>
      <c r="I637" s="14">
        <v>2</v>
      </c>
      <c r="J637" s="11">
        <f>I637*85</f>
        <v>170</v>
      </c>
      <c r="K637" s="11">
        <f>J637-H637</f>
        <v>165.470000029</v>
      </c>
      <c r="L637" s="10">
        <f>G637/F637</f>
        <v>2.5564550489987217E-4</v>
      </c>
      <c r="M637" s="14">
        <f>IFERROR(ROUND(I637/G637,2),0)</f>
        <v>0.67</v>
      </c>
      <c r="N637" s="11">
        <f>IFERROR(H637/G637,0)</f>
        <v>1.5099999903333332</v>
      </c>
      <c r="O637" s="11">
        <f>IFERROR(H637/I637,0)</f>
        <v>2.2649999854999998</v>
      </c>
      <c r="P637" s="11">
        <f>IFERROR((J637-H637)/H637,0)</f>
        <v>36.527594059227425</v>
      </c>
    </row>
    <row r="638" spans="1:16">
      <c r="A638">
        <v>778112</v>
      </c>
      <c r="B638" t="s">
        <v>161</v>
      </c>
      <c r="C638" t="s">
        <v>2</v>
      </c>
      <c r="D638" t="s">
        <v>1</v>
      </c>
      <c r="E638" s="14">
        <v>29</v>
      </c>
      <c r="F638" s="14">
        <v>11446</v>
      </c>
      <c r="G638" s="14">
        <v>2</v>
      </c>
      <c r="H638" s="13">
        <v>3.0900000329999999</v>
      </c>
      <c r="I638" s="14">
        <v>2</v>
      </c>
      <c r="J638" s="11">
        <f>I638*85</f>
        <v>170</v>
      </c>
      <c r="K638" s="11">
        <f>J638-H638</f>
        <v>166.909999967</v>
      </c>
      <c r="L638" s="10">
        <f>G638/F638</f>
        <v>1.7473353136466887E-4</v>
      </c>
      <c r="M638" s="14">
        <f>IFERROR(ROUND(I638/G638,2),0)</f>
        <v>1</v>
      </c>
      <c r="N638" s="11">
        <f>IFERROR(H638/G638,0)</f>
        <v>1.5450000165</v>
      </c>
      <c r="O638" s="11">
        <f>IFERROR(H638/I638,0)</f>
        <v>1.5450000165</v>
      </c>
      <c r="P638" s="11">
        <f>IFERROR((J638-H638)/H638,0)</f>
        <v>54.016180642222025</v>
      </c>
    </row>
    <row r="639" spans="1:16">
      <c r="A639">
        <v>778461</v>
      </c>
      <c r="B639" t="s">
        <v>161</v>
      </c>
      <c r="C639" t="s">
        <v>3</v>
      </c>
      <c r="D639" t="s">
        <v>1</v>
      </c>
      <c r="E639" s="14">
        <v>29</v>
      </c>
      <c r="F639" s="14">
        <v>10090</v>
      </c>
      <c r="G639" s="14">
        <v>2</v>
      </c>
      <c r="H639" s="13">
        <v>2.6500000950000002</v>
      </c>
      <c r="I639" s="14">
        <v>2</v>
      </c>
      <c r="J639" s="11">
        <f>I639*85</f>
        <v>170</v>
      </c>
      <c r="K639" s="11">
        <f>J639-H639</f>
        <v>167.349999905</v>
      </c>
      <c r="L639" s="10">
        <f>G639/F639</f>
        <v>1.9821605550049553E-4</v>
      </c>
      <c r="M639" s="14">
        <f>IFERROR(ROUND(I639/G639,2),0)</f>
        <v>1</v>
      </c>
      <c r="N639" s="11">
        <f>IFERROR(H639/G639,0)</f>
        <v>1.3250000475000001</v>
      </c>
      <c r="O639" s="11">
        <f>IFERROR(H639/I639,0)</f>
        <v>1.3250000475000001</v>
      </c>
      <c r="P639" s="11">
        <f>IFERROR((J639-H639)/H639,0)</f>
        <v>63.150941096475691</v>
      </c>
    </row>
    <row r="640" spans="1:16">
      <c r="A640">
        <v>778556</v>
      </c>
      <c r="B640" t="s">
        <v>161</v>
      </c>
      <c r="C640" t="s">
        <v>3</v>
      </c>
      <c r="D640" t="s">
        <v>1</v>
      </c>
      <c r="E640" s="14">
        <v>32</v>
      </c>
      <c r="F640" s="14">
        <v>9735</v>
      </c>
      <c r="G640" s="14">
        <v>4</v>
      </c>
      <c r="H640" s="13">
        <v>4.1300001139999996</v>
      </c>
      <c r="I640" s="14">
        <v>2</v>
      </c>
      <c r="J640" s="11">
        <f>I640*85</f>
        <v>170</v>
      </c>
      <c r="K640" s="11">
        <f>J640-H640</f>
        <v>165.86999988599999</v>
      </c>
      <c r="L640" s="10">
        <f>G640/F640</f>
        <v>4.1088854648176684E-4</v>
      </c>
      <c r="M640" s="14">
        <f>IFERROR(ROUND(I640/G640,2),0)</f>
        <v>0.5</v>
      </c>
      <c r="N640" s="11">
        <f>IFERROR(H640/G640,0)</f>
        <v>1.0325000284999999</v>
      </c>
      <c r="O640" s="11">
        <f>IFERROR(H640/I640,0)</f>
        <v>2.0650000569999998</v>
      </c>
      <c r="P640" s="11">
        <f>IFERROR((J640-H640)/H640,0)</f>
        <v>40.162226466708518</v>
      </c>
    </row>
    <row r="641" spans="1:16">
      <c r="A641">
        <v>778626</v>
      </c>
      <c r="B641" t="s">
        <v>161</v>
      </c>
      <c r="C641" t="s">
        <v>0</v>
      </c>
      <c r="D641" t="s">
        <v>1</v>
      </c>
      <c r="E641" s="14">
        <v>29</v>
      </c>
      <c r="F641" s="14">
        <v>7629</v>
      </c>
      <c r="G641" s="14">
        <v>1</v>
      </c>
      <c r="H641" s="13">
        <v>0.72000002900000004</v>
      </c>
      <c r="I641" s="14">
        <v>2</v>
      </c>
      <c r="J641" s="11">
        <f>I641*85</f>
        <v>170</v>
      </c>
      <c r="K641" s="11">
        <f>J641-H641</f>
        <v>169.279999971</v>
      </c>
      <c r="L641" s="10">
        <f>G641/F641</f>
        <v>1.3107877834578582E-4</v>
      </c>
      <c r="M641" s="14">
        <f>IFERROR(ROUND(I641/G641,2),0)</f>
        <v>2</v>
      </c>
      <c r="N641" s="11">
        <f>IFERROR(H641/G641,0)</f>
        <v>0.72000002900000004</v>
      </c>
      <c r="O641" s="11">
        <f>IFERROR(H641/I641,0)</f>
        <v>0.36000001450000002</v>
      </c>
      <c r="P641" s="11">
        <f>IFERROR((J641-H641)/H641,0)</f>
        <v>235.11110160108061</v>
      </c>
    </row>
    <row r="642" spans="1:16">
      <c r="A642">
        <v>778689</v>
      </c>
      <c r="B642" t="s">
        <v>161</v>
      </c>
      <c r="C642" t="s">
        <v>0</v>
      </c>
      <c r="D642" t="s">
        <v>1</v>
      </c>
      <c r="E642" s="14">
        <v>28</v>
      </c>
      <c r="F642" s="14">
        <v>7453</v>
      </c>
      <c r="G642" s="14">
        <v>1</v>
      </c>
      <c r="H642" s="13">
        <v>1.6799999480000001</v>
      </c>
      <c r="I642" s="14">
        <v>2</v>
      </c>
      <c r="J642" s="11">
        <f>I642*85</f>
        <v>170</v>
      </c>
      <c r="K642" s="11">
        <f>J642-H642</f>
        <v>168.32000005200001</v>
      </c>
      <c r="L642" s="10">
        <f>G642/F642</f>
        <v>1.3417415805715819E-4</v>
      </c>
      <c r="M642" s="14">
        <f>IFERROR(ROUND(I642/G642,2),0)</f>
        <v>2</v>
      </c>
      <c r="N642" s="11">
        <f>IFERROR(H642/G642,0)</f>
        <v>1.6799999480000001</v>
      </c>
      <c r="O642" s="11">
        <f>IFERROR(H642/I642,0)</f>
        <v>0.83999997400000004</v>
      </c>
      <c r="P642" s="11">
        <f>IFERROR((J642-H642)/H642,0)</f>
        <v>100.19047932256245</v>
      </c>
    </row>
    <row r="643" spans="1:16">
      <c r="A643">
        <v>778737</v>
      </c>
      <c r="B643" t="s">
        <v>161</v>
      </c>
      <c r="C643" t="s">
        <v>2</v>
      </c>
      <c r="D643" t="s">
        <v>1</v>
      </c>
      <c r="E643" s="14">
        <v>27</v>
      </c>
      <c r="F643" s="14">
        <v>8077</v>
      </c>
      <c r="G643" s="14">
        <v>2</v>
      </c>
      <c r="H643" s="13">
        <v>3.579999924</v>
      </c>
      <c r="I643" s="14">
        <v>2</v>
      </c>
      <c r="J643" s="11">
        <f>I643*85</f>
        <v>170</v>
      </c>
      <c r="K643" s="11">
        <f>J643-H643</f>
        <v>166.42000007600001</v>
      </c>
      <c r="L643" s="10">
        <f>G643/F643</f>
        <v>2.4761668936486319E-4</v>
      </c>
      <c r="M643" s="14">
        <f>IFERROR(ROUND(I643/G643,2),0)</f>
        <v>1</v>
      </c>
      <c r="N643" s="11">
        <f>IFERROR(H643/G643,0)</f>
        <v>1.789999962</v>
      </c>
      <c r="O643" s="11">
        <f>IFERROR(H643/I643,0)</f>
        <v>1.789999962</v>
      </c>
      <c r="P643" s="11">
        <f>IFERROR((J643-H643)/H643,0)</f>
        <v>46.486034527636491</v>
      </c>
    </row>
    <row r="644" spans="1:16">
      <c r="A644">
        <v>778804</v>
      </c>
      <c r="B644" t="s">
        <v>161</v>
      </c>
      <c r="C644" t="s">
        <v>0</v>
      </c>
      <c r="D644" t="s">
        <v>1</v>
      </c>
      <c r="E644" s="14">
        <v>26</v>
      </c>
      <c r="F644" s="14">
        <v>6184</v>
      </c>
      <c r="G644" s="14">
        <v>2</v>
      </c>
      <c r="H644" s="13">
        <v>2.75</v>
      </c>
      <c r="I644" s="14">
        <v>2</v>
      </c>
      <c r="J644" s="11">
        <f>I644*85</f>
        <v>170</v>
      </c>
      <c r="K644" s="11">
        <f>J644-H644</f>
        <v>167.25</v>
      </c>
      <c r="L644" s="10">
        <f>G644/F644</f>
        <v>3.2341526520051749E-4</v>
      </c>
      <c r="M644" s="14">
        <f>IFERROR(ROUND(I644/G644,2),0)</f>
        <v>1</v>
      </c>
      <c r="N644" s="11">
        <f>IFERROR(H644/G644,0)</f>
        <v>1.375</v>
      </c>
      <c r="O644" s="11">
        <f>IFERROR(H644/I644,0)</f>
        <v>1.375</v>
      </c>
      <c r="P644" s="11">
        <f>IFERROR((J644-H644)/H644,0)</f>
        <v>60.81818181818182</v>
      </c>
    </row>
    <row r="645" spans="1:16">
      <c r="A645">
        <v>779609</v>
      </c>
      <c r="B645" t="s">
        <v>161</v>
      </c>
      <c r="C645" t="s">
        <v>2</v>
      </c>
      <c r="D645" t="s">
        <v>5</v>
      </c>
      <c r="E645" s="14">
        <v>15</v>
      </c>
      <c r="F645" s="14">
        <v>7116</v>
      </c>
      <c r="G645" s="14">
        <v>2</v>
      </c>
      <c r="H645" s="13">
        <v>1.730000019</v>
      </c>
      <c r="I645" s="14">
        <v>2</v>
      </c>
      <c r="J645" s="11">
        <f>I645*85</f>
        <v>170</v>
      </c>
      <c r="K645" s="11">
        <f>J645-H645</f>
        <v>168.26999998100001</v>
      </c>
      <c r="L645" s="10">
        <f>G645/F645</f>
        <v>2.8105677346824059E-4</v>
      </c>
      <c r="M645" s="14">
        <f>IFERROR(ROUND(I645/G645,2),0)</f>
        <v>1</v>
      </c>
      <c r="N645" s="11">
        <f>IFERROR(H645/G645,0)</f>
        <v>0.8650000095</v>
      </c>
      <c r="O645" s="11">
        <f>IFERROR(H645/I645,0)</f>
        <v>0.8650000095</v>
      </c>
      <c r="P645" s="11">
        <f>IFERROR((J645-H645)/H645,0)</f>
        <v>97.265894874536428</v>
      </c>
    </row>
    <row r="646" spans="1:16">
      <c r="A646">
        <v>779622</v>
      </c>
      <c r="B646" t="s">
        <v>161</v>
      </c>
      <c r="C646" t="s">
        <v>0</v>
      </c>
      <c r="D646" t="s">
        <v>5</v>
      </c>
      <c r="E646" s="14">
        <v>15</v>
      </c>
      <c r="F646" s="14">
        <v>8613</v>
      </c>
      <c r="G646" s="14">
        <v>1</v>
      </c>
      <c r="H646" s="13">
        <v>0.88999998599999997</v>
      </c>
      <c r="I646" s="14">
        <v>2</v>
      </c>
      <c r="J646" s="11">
        <f>I646*85</f>
        <v>170</v>
      </c>
      <c r="K646" s="11">
        <f>J646-H646</f>
        <v>169.11000001400001</v>
      </c>
      <c r="L646" s="10">
        <f>G646/F646</f>
        <v>1.1610356437942645E-4</v>
      </c>
      <c r="M646" s="14">
        <f>IFERROR(ROUND(I646/G646,2),0)</f>
        <v>2</v>
      </c>
      <c r="N646" s="11">
        <f>IFERROR(H646/G646,0)</f>
        <v>0.88999998599999997</v>
      </c>
      <c r="O646" s="11">
        <f>IFERROR(H646/I646,0)</f>
        <v>0.44499999299999998</v>
      </c>
      <c r="P646" s="11">
        <f>IFERROR((J646-H646)/H646,0)</f>
        <v>190.01123895972736</v>
      </c>
    </row>
    <row r="647" spans="1:16">
      <c r="A647">
        <v>779789</v>
      </c>
      <c r="B647" t="s">
        <v>161</v>
      </c>
      <c r="C647" t="s">
        <v>4</v>
      </c>
      <c r="D647" t="s">
        <v>1</v>
      </c>
      <c r="E647" s="14">
        <v>10</v>
      </c>
      <c r="F647" s="14">
        <v>11611</v>
      </c>
      <c r="G647" s="14">
        <v>3</v>
      </c>
      <c r="H647" s="13">
        <v>3.9500000480000002</v>
      </c>
      <c r="I647" s="14">
        <v>2</v>
      </c>
      <c r="J647" s="11">
        <f>I647*85</f>
        <v>170</v>
      </c>
      <c r="K647" s="11">
        <f>J647-H647</f>
        <v>166.04999995200001</v>
      </c>
      <c r="L647" s="10">
        <f>G647/F647</f>
        <v>2.5837567823615537E-4</v>
      </c>
      <c r="M647" s="14">
        <f>IFERROR(ROUND(I647/G647,2),0)</f>
        <v>0.67</v>
      </c>
      <c r="N647" s="11">
        <f>IFERROR(H647/G647,0)</f>
        <v>1.3166666826666666</v>
      </c>
      <c r="O647" s="11">
        <f>IFERROR(H647/I647,0)</f>
        <v>1.9750000240000001</v>
      </c>
      <c r="P647" s="11">
        <f>IFERROR((J647-H647)/H647,0)</f>
        <v>42.037974160551201</v>
      </c>
    </row>
    <row r="648" spans="1:16">
      <c r="A648">
        <v>779871</v>
      </c>
      <c r="B648" t="s">
        <v>161</v>
      </c>
      <c r="C648" t="s">
        <v>0</v>
      </c>
      <c r="D648" t="s">
        <v>5</v>
      </c>
      <c r="E648" s="14">
        <v>32</v>
      </c>
      <c r="F648" s="14">
        <v>4402</v>
      </c>
      <c r="G648" s="14">
        <v>1</v>
      </c>
      <c r="H648" s="13">
        <v>1.3300000430000001</v>
      </c>
      <c r="I648" s="14">
        <v>2</v>
      </c>
      <c r="J648" s="11">
        <f>I648*85</f>
        <v>170</v>
      </c>
      <c r="K648" s="11">
        <f>J648-H648</f>
        <v>168.66999995699999</v>
      </c>
      <c r="L648" s="10">
        <f>G648/F648</f>
        <v>2.2716946842344388E-4</v>
      </c>
      <c r="M648" s="14">
        <f>IFERROR(ROUND(I648/G648,2),0)</f>
        <v>2</v>
      </c>
      <c r="N648" s="11">
        <f>IFERROR(H648/G648,0)</f>
        <v>1.3300000430000001</v>
      </c>
      <c r="O648" s="11">
        <f>IFERROR(H648/I648,0)</f>
        <v>0.66500002150000004</v>
      </c>
      <c r="P648" s="11">
        <f>IFERROR((J648-H648)/H648,0)</f>
        <v>126.81954473966884</v>
      </c>
    </row>
    <row r="649" spans="1:16">
      <c r="A649">
        <v>779922</v>
      </c>
      <c r="B649" t="s">
        <v>161</v>
      </c>
      <c r="C649" t="s">
        <v>0</v>
      </c>
      <c r="D649" t="s">
        <v>5</v>
      </c>
      <c r="E649" s="14">
        <v>18</v>
      </c>
      <c r="F649" s="14">
        <v>5823</v>
      </c>
      <c r="G649" s="14">
        <v>1</v>
      </c>
      <c r="H649" s="13">
        <v>1.4199999569999999</v>
      </c>
      <c r="I649" s="14">
        <v>2</v>
      </c>
      <c r="J649" s="11">
        <f>I649*85</f>
        <v>170</v>
      </c>
      <c r="K649" s="11">
        <f>J649-H649</f>
        <v>168.58000004300001</v>
      </c>
      <c r="L649" s="10">
        <f>G649/F649</f>
        <v>1.7173278378842521E-4</v>
      </c>
      <c r="M649" s="14">
        <f>IFERROR(ROUND(I649/G649,2),0)</f>
        <v>2</v>
      </c>
      <c r="N649" s="11">
        <f>IFERROR(H649/G649,0)</f>
        <v>1.4199999569999999</v>
      </c>
      <c r="O649" s="11">
        <f>IFERROR(H649/I649,0)</f>
        <v>0.70999997849999996</v>
      </c>
      <c r="P649" s="11">
        <f>IFERROR((J649-H649)/H649,0)</f>
        <v>118.71831348442782</v>
      </c>
    </row>
    <row r="650" spans="1:16">
      <c r="A650">
        <v>780104</v>
      </c>
      <c r="B650" t="s">
        <v>161</v>
      </c>
      <c r="C650" t="s">
        <v>0</v>
      </c>
      <c r="D650" t="s">
        <v>5</v>
      </c>
      <c r="E650" s="14">
        <v>25</v>
      </c>
      <c r="F650" s="14">
        <v>4971</v>
      </c>
      <c r="G650" s="14">
        <v>1</v>
      </c>
      <c r="H650" s="13">
        <v>1.230000019</v>
      </c>
      <c r="I650" s="14">
        <v>2</v>
      </c>
      <c r="J650" s="11">
        <f>I650*85</f>
        <v>170</v>
      </c>
      <c r="K650" s="11">
        <f>J650-H650</f>
        <v>168.76999998100001</v>
      </c>
      <c r="L650" s="10">
        <f>G650/F650</f>
        <v>2.011667672500503E-4</v>
      </c>
      <c r="M650" s="14">
        <f>IFERROR(ROUND(I650/G650,2),0)</f>
        <v>2</v>
      </c>
      <c r="N650" s="11">
        <f>IFERROR(H650/G650,0)</f>
        <v>1.230000019</v>
      </c>
      <c r="O650" s="11">
        <f>IFERROR(H650/I650,0)</f>
        <v>0.6150000095</v>
      </c>
      <c r="P650" s="11">
        <f>IFERROR((J650-H650)/H650,0)</f>
        <v>137.21137997884861</v>
      </c>
    </row>
    <row r="651" spans="1:16">
      <c r="A651">
        <v>780653</v>
      </c>
      <c r="B651" t="s">
        <v>161</v>
      </c>
      <c r="C651" t="s">
        <v>0</v>
      </c>
      <c r="D651" t="s">
        <v>5</v>
      </c>
      <c r="E651" s="14">
        <v>29</v>
      </c>
      <c r="F651" s="14">
        <v>9076</v>
      </c>
      <c r="G651" s="14">
        <v>1</v>
      </c>
      <c r="H651" s="13">
        <v>1.3799999949999999</v>
      </c>
      <c r="I651" s="14">
        <v>2</v>
      </c>
      <c r="J651" s="11">
        <f>I651*85</f>
        <v>170</v>
      </c>
      <c r="K651" s="11">
        <f>J651-H651</f>
        <v>168.62000000500001</v>
      </c>
      <c r="L651" s="10">
        <f>G651/F651</f>
        <v>1.1018069634200089E-4</v>
      </c>
      <c r="M651" s="14">
        <f>IFERROR(ROUND(I651/G651,2),0)</f>
        <v>2</v>
      </c>
      <c r="N651" s="11">
        <f>IFERROR(H651/G651,0)</f>
        <v>1.3799999949999999</v>
      </c>
      <c r="O651" s="11">
        <f>IFERROR(H651/I651,0)</f>
        <v>0.68999999749999996</v>
      </c>
      <c r="P651" s="11">
        <f>IFERROR((J651-H651)/H651,0)</f>
        <v>122.18840624343626</v>
      </c>
    </row>
    <row r="652" spans="1:16">
      <c r="A652">
        <v>780655</v>
      </c>
      <c r="B652" t="s">
        <v>161</v>
      </c>
      <c r="C652" t="s">
        <v>0</v>
      </c>
      <c r="D652" t="s">
        <v>5</v>
      </c>
      <c r="E652" s="14">
        <v>29</v>
      </c>
      <c r="F652" s="14">
        <v>20941</v>
      </c>
      <c r="G652" s="14">
        <v>4</v>
      </c>
      <c r="H652" s="13">
        <v>5.9099999670000001</v>
      </c>
      <c r="I652" s="14">
        <v>2</v>
      </c>
      <c r="J652" s="11">
        <f>I652*85</f>
        <v>170</v>
      </c>
      <c r="K652" s="11">
        <f>J652-H652</f>
        <v>164.090000033</v>
      </c>
      <c r="L652" s="10">
        <f>G652/F652</f>
        <v>1.9101284561386754E-4</v>
      </c>
      <c r="M652" s="14">
        <f>IFERROR(ROUND(I652/G652,2),0)</f>
        <v>0.5</v>
      </c>
      <c r="N652" s="11">
        <f>IFERROR(H652/G652,0)</f>
        <v>1.47749999175</v>
      </c>
      <c r="O652" s="11">
        <f>IFERROR(H652/I652,0)</f>
        <v>2.9549999835</v>
      </c>
      <c r="P652" s="11">
        <f>IFERROR((J652-H652)/H652,0)</f>
        <v>27.764805575167273</v>
      </c>
    </row>
    <row r="653" spans="1:16">
      <c r="A653">
        <v>780799</v>
      </c>
      <c r="B653" t="s">
        <v>161</v>
      </c>
      <c r="C653" t="s">
        <v>0</v>
      </c>
      <c r="D653" t="s">
        <v>5</v>
      </c>
      <c r="E653" s="14">
        <v>22</v>
      </c>
      <c r="F653" s="14">
        <v>44699</v>
      </c>
      <c r="G653" s="14">
        <v>13</v>
      </c>
      <c r="H653" s="13">
        <v>17.300000369999999</v>
      </c>
      <c r="I653" s="14">
        <v>2</v>
      </c>
      <c r="J653" s="11">
        <f>I653*85</f>
        <v>170</v>
      </c>
      <c r="K653" s="11">
        <f>J653-H653</f>
        <v>152.69999963000001</v>
      </c>
      <c r="L653" s="10">
        <f>G653/F653</f>
        <v>2.9083424685115997E-4</v>
      </c>
      <c r="M653" s="14">
        <f>IFERROR(ROUND(I653/G653,2),0)</f>
        <v>0.15</v>
      </c>
      <c r="N653" s="11">
        <f>IFERROR(H653/G653,0)</f>
        <v>1.3307692592307692</v>
      </c>
      <c r="O653" s="11">
        <f>IFERROR(H653/I653,0)</f>
        <v>8.6500001849999997</v>
      </c>
      <c r="P653" s="11">
        <f>IFERROR((J653-H653)/H653,0)</f>
        <v>8.8265893852116726</v>
      </c>
    </row>
    <row r="654" spans="1:16">
      <c r="A654">
        <v>780830</v>
      </c>
      <c r="B654" t="s">
        <v>161</v>
      </c>
      <c r="C654" t="s">
        <v>4</v>
      </c>
      <c r="D654" t="s">
        <v>5</v>
      </c>
      <c r="E654" s="14">
        <v>16</v>
      </c>
      <c r="F654" s="14">
        <v>16053</v>
      </c>
      <c r="G654" s="14">
        <v>3</v>
      </c>
      <c r="H654" s="13">
        <v>4.079999924</v>
      </c>
      <c r="I654" s="14">
        <v>2</v>
      </c>
      <c r="J654" s="11">
        <f>I654*85</f>
        <v>170</v>
      </c>
      <c r="K654" s="11">
        <f>J654-H654</f>
        <v>165.92000007600001</v>
      </c>
      <c r="L654" s="10">
        <f>G654/F654</f>
        <v>1.8688095683049897E-4</v>
      </c>
      <c r="M654" s="14">
        <f>IFERROR(ROUND(I654/G654,2),0)</f>
        <v>0.67</v>
      </c>
      <c r="N654" s="11">
        <f>IFERROR(H654/G654,0)</f>
        <v>1.3599999746666667</v>
      </c>
      <c r="O654" s="11">
        <f>IFERROR(H654/I654,0)</f>
        <v>2.039999962</v>
      </c>
      <c r="P654" s="11">
        <f>IFERROR((J654-H654)/H654,0)</f>
        <v>40.666667442810471</v>
      </c>
    </row>
    <row r="655" spans="1:16">
      <c r="A655">
        <v>780835</v>
      </c>
      <c r="B655" t="s">
        <v>161</v>
      </c>
      <c r="C655" t="s">
        <v>4</v>
      </c>
      <c r="D655" t="s">
        <v>5</v>
      </c>
      <c r="E655" s="14">
        <v>16</v>
      </c>
      <c r="F655" s="14">
        <v>54724</v>
      </c>
      <c r="G655" s="14">
        <v>12</v>
      </c>
      <c r="H655" s="13">
        <v>17.929999949999999</v>
      </c>
      <c r="I655" s="14">
        <v>2</v>
      </c>
      <c r="J655" s="11">
        <f>I655*85</f>
        <v>170</v>
      </c>
      <c r="K655" s="11">
        <f>J655-H655</f>
        <v>152.07000005</v>
      </c>
      <c r="L655" s="10">
        <f>G655/F655</f>
        <v>2.1928221621226519E-4</v>
      </c>
      <c r="M655" s="14">
        <f>IFERROR(ROUND(I655/G655,2),0)</f>
        <v>0.17</v>
      </c>
      <c r="N655" s="11">
        <f>IFERROR(H655/G655,0)</f>
        <v>1.4941666624999999</v>
      </c>
      <c r="O655" s="11">
        <f>IFERROR(H655/I655,0)</f>
        <v>8.9649999749999996</v>
      </c>
      <c r="P655" s="11">
        <f>IFERROR((J655-H655)/H655,0)</f>
        <v>8.4813162562222999</v>
      </c>
    </row>
    <row r="656" spans="1:16">
      <c r="A656">
        <v>780974</v>
      </c>
      <c r="B656" t="s">
        <v>161</v>
      </c>
      <c r="C656" t="s">
        <v>3</v>
      </c>
      <c r="D656" t="s">
        <v>5</v>
      </c>
      <c r="E656" s="14">
        <v>32</v>
      </c>
      <c r="F656" s="14">
        <v>8316</v>
      </c>
      <c r="G656" s="14">
        <v>3</v>
      </c>
      <c r="H656" s="13">
        <v>4.5699999330000001</v>
      </c>
      <c r="I656" s="14">
        <v>2</v>
      </c>
      <c r="J656" s="11">
        <f>I656*85</f>
        <v>170</v>
      </c>
      <c r="K656" s="11">
        <f>J656-H656</f>
        <v>165.43000006700001</v>
      </c>
      <c r="L656" s="10">
        <f>G656/F656</f>
        <v>3.6075036075036075E-4</v>
      </c>
      <c r="M656" s="14">
        <f>IFERROR(ROUND(I656/G656,2),0)</f>
        <v>0.67</v>
      </c>
      <c r="N656" s="11">
        <f>IFERROR(H656/G656,0)</f>
        <v>1.523333311</v>
      </c>
      <c r="O656" s="11">
        <f>IFERROR(H656/I656,0)</f>
        <v>2.2849999665</v>
      </c>
      <c r="P656" s="11">
        <f>IFERROR((J656-H656)/H656,0)</f>
        <v>36.19912527184713</v>
      </c>
    </row>
    <row r="657" spans="1:16">
      <c r="A657">
        <v>781353</v>
      </c>
      <c r="B657" t="s">
        <v>161</v>
      </c>
      <c r="C657" t="s">
        <v>2</v>
      </c>
      <c r="D657" t="s">
        <v>5</v>
      </c>
      <c r="E657" s="14">
        <v>10</v>
      </c>
      <c r="F657" s="14">
        <v>7449</v>
      </c>
      <c r="G657" s="14">
        <v>1</v>
      </c>
      <c r="H657" s="13">
        <v>1.6399999860000001</v>
      </c>
      <c r="I657" s="14">
        <v>2</v>
      </c>
      <c r="J657" s="11">
        <f>I657*85</f>
        <v>170</v>
      </c>
      <c r="K657" s="11">
        <f>J657-H657</f>
        <v>168.36000001400001</v>
      </c>
      <c r="L657" s="10">
        <f>G657/F657</f>
        <v>1.3424620754463686E-4</v>
      </c>
      <c r="M657" s="14">
        <f>IFERROR(ROUND(I657/G657,2),0)</f>
        <v>2</v>
      </c>
      <c r="N657" s="11">
        <f>IFERROR(H657/G657,0)</f>
        <v>1.6399999860000001</v>
      </c>
      <c r="O657" s="11">
        <f>IFERROR(H657/I657,0)</f>
        <v>0.81999999300000004</v>
      </c>
      <c r="P657" s="11">
        <f>IFERROR((J657-H657)/H657,0)</f>
        <v>102.65853747025581</v>
      </c>
    </row>
    <row r="658" spans="1:16">
      <c r="A658">
        <v>781811</v>
      </c>
      <c r="B658" t="s">
        <v>161</v>
      </c>
      <c r="C658" t="s">
        <v>2</v>
      </c>
      <c r="D658" t="s">
        <v>5</v>
      </c>
      <c r="E658" s="14">
        <v>16</v>
      </c>
      <c r="F658" s="14">
        <v>10186</v>
      </c>
      <c r="G658" s="14">
        <v>1</v>
      </c>
      <c r="H658" s="13">
        <v>1.230000019</v>
      </c>
      <c r="I658" s="14">
        <v>2</v>
      </c>
      <c r="J658" s="11">
        <f>I658*85</f>
        <v>170</v>
      </c>
      <c r="K658" s="11">
        <f>J658-H658</f>
        <v>168.76999998100001</v>
      </c>
      <c r="L658" s="10">
        <f>G658/F658</f>
        <v>9.8173964264677014E-5</v>
      </c>
      <c r="M658" s="14">
        <f>IFERROR(ROUND(I658/G658,2),0)</f>
        <v>2</v>
      </c>
      <c r="N658" s="11">
        <f>IFERROR(H658/G658,0)</f>
        <v>1.230000019</v>
      </c>
      <c r="O658" s="11">
        <f>IFERROR(H658/I658,0)</f>
        <v>0.6150000095</v>
      </c>
      <c r="P658" s="11">
        <f>IFERROR((J658-H658)/H658,0)</f>
        <v>137.21137997884861</v>
      </c>
    </row>
    <row r="659" spans="1:16">
      <c r="A659">
        <v>781857</v>
      </c>
      <c r="B659" t="s">
        <v>161</v>
      </c>
      <c r="C659" t="s">
        <v>0</v>
      </c>
      <c r="D659" t="s">
        <v>1</v>
      </c>
      <c r="E659" s="14">
        <v>20</v>
      </c>
      <c r="F659" s="14">
        <v>9134</v>
      </c>
      <c r="G659" s="14">
        <v>3</v>
      </c>
      <c r="H659" s="13">
        <v>4.1800000669999999</v>
      </c>
      <c r="I659" s="14">
        <v>2</v>
      </c>
      <c r="J659" s="11">
        <f>I659*85</f>
        <v>170</v>
      </c>
      <c r="K659" s="11">
        <f>J659-H659</f>
        <v>165.81999993299999</v>
      </c>
      <c r="L659" s="10">
        <f>G659/F659</f>
        <v>3.2844317932997593E-4</v>
      </c>
      <c r="M659" s="14">
        <f>IFERROR(ROUND(I659/G659,2),0)</f>
        <v>0.67</v>
      </c>
      <c r="N659" s="11">
        <f>IFERROR(H659/G659,0)</f>
        <v>1.3933333556666667</v>
      </c>
      <c r="O659" s="11">
        <f>IFERROR(H659/I659,0)</f>
        <v>2.0900000335</v>
      </c>
      <c r="P659" s="11">
        <f>IFERROR((J659-H659)/H659,0)</f>
        <v>39.669855807444897</v>
      </c>
    </row>
    <row r="660" spans="1:16">
      <c r="A660">
        <v>781858</v>
      </c>
      <c r="B660" t="s">
        <v>161</v>
      </c>
      <c r="C660" t="s">
        <v>0</v>
      </c>
      <c r="D660" t="s">
        <v>1</v>
      </c>
      <c r="E660" s="14">
        <v>20</v>
      </c>
      <c r="F660" s="14">
        <v>3385</v>
      </c>
      <c r="G660" s="14">
        <v>1</v>
      </c>
      <c r="H660" s="13">
        <v>1.440000057</v>
      </c>
      <c r="I660" s="14">
        <v>2</v>
      </c>
      <c r="J660" s="11">
        <f>I660*85</f>
        <v>170</v>
      </c>
      <c r="K660" s="11">
        <f>J660-H660</f>
        <v>168.55999994300001</v>
      </c>
      <c r="L660" s="10">
        <f>G660/F660</f>
        <v>2.9542097488921711E-4</v>
      </c>
      <c r="M660" s="14">
        <f>IFERROR(ROUND(I660/G660,2),0)</f>
        <v>2</v>
      </c>
      <c r="N660" s="11">
        <f>IFERROR(H660/G660,0)</f>
        <v>1.440000057</v>
      </c>
      <c r="O660" s="11">
        <f>IFERROR(H660/I660,0)</f>
        <v>0.7200000285</v>
      </c>
      <c r="P660" s="11">
        <f>IFERROR((J660-H660)/H660,0)</f>
        <v>117.05555088252333</v>
      </c>
    </row>
    <row r="661" spans="1:16">
      <c r="A661">
        <v>782001</v>
      </c>
      <c r="B661" t="s">
        <v>161</v>
      </c>
      <c r="C661" t="s">
        <v>0</v>
      </c>
      <c r="D661" t="s">
        <v>1</v>
      </c>
      <c r="E661" s="14">
        <v>24</v>
      </c>
      <c r="F661" s="14">
        <v>5475</v>
      </c>
      <c r="G661" s="14">
        <v>2</v>
      </c>
      <c r="H661" s="13">
        <v>2.7300000190000002</v>
      </c>
      <c r="I661" s="14">
        <v>2</v>
      </c>
      <c r="J661" s="11">
        <f>I661*85</f>
        <v>170</v>
      </c>
      <c r="K661" s="11">
        <f>J661-H661</f>
        <v>167.26999998100001</v>
      </c>
      <c r="L661" s="10">
        <f>G661/F661</f>
        <v>3.6529680365296805E-4</v>
      </c>
      <c r="M661" s="14">
        <f>IFERROR(ROUND(I661/G661,2),0)</f>
        <v>1</v>
      </c>
      <c r="N661" s="11">
        <f>IFERROR(H661/G661,0)</f>
        <v>1.3650000095000001</v>
      </c>
      <c r="O661" s="11">
        <f>IFERROR(H661/I661,0)</f>
        <v>1.3650000095000001</v>
      </c>
      <c r="P661" s="11">
        <f>IFERROR((J661-H661)/H661,0)</f>
        <v>61.271061837673926</v>
      </c>
    </row>
    <row r="662" spans="1:16">
      <c r="A662">
        <v>782022</v>
      </c>
      <c r="B662" t="s">
        <v>161</v>
      </c>
      <c r="C662" t="s">
        <v>0</v>
      </c>
      <c r="D662" t="s">
        <v>5</v>
      </c>
      <c r="E662" s="14">
        <v>18</v>
      </c>
      <c r="F662" s="14">
        <v>8254</v>
      </c>
      <c r="G662" s="14">
        <v>2</v>
      </c>
      <c r="H662" s="13">
        <v>2.3200000520000001</v>
      </c>
      <c r="I662" s="14">
        <v>2</v>
      </c>
      <c r="J662" s="11">
        <f>I662*85</f>
        <v>170</v>
      </c>
      <c r="K662" s="11">
        <f>J662-H662</f>
        <v>167.67999994799999</v>
      </c>
      <c r="L662" s="10">
        <f>G662/F662</f>
        <v>2.4230676035861401E-4</v>
      </c>
      <c r="M662" s="14">
        <f>IFERROR(ROUND(I662/G662,2),0)</f>
        <v>1</v>
      </c>
      <c r="N662" s="11">
        <f>IFERROR(H662/G662,0)</f>
        <v>1.1600000260000001</v>
      </c>
      <c r="O662" s="11">
        <f>IFERROR(H662/I662,0)</f>
        <v>1.1600000260000001</v>
      </c>
      <c r="P662" s="11">
        <f>IFERROR((J662-H662)/H662,0)</f>
        <v>72.275860426575534</v>
      </c>
    </row>
    <row r="663" spans="1:16">
      <c r="A663">
        <v>782134</v>
      </c>
      <c r="B663" t="s">
        <v>161</v>
      </c>
      <c r="C663" t="s">
        <v>0</v>
      </c>
      <c r="D663" t="s">
        <v>5</v>
      </c>
      <c r="E663" s="14">
        <v>16</v>
      </c>
      <c r="F663" s="14">
        <v>37873</v>
      </c>
      <c r="G663" s="14">
        <v>5</v>
      </c>
      <c r="H663" s="13">
        <v>6.1699999569999999</v>
      </c>
      <c r="I663" s="14">
        <v>2</v>
      </c>
      <c r="J663" s="11">
        <f>I663*85</f>
        <v>170</v>
      </c>
      <c r="K663" s="11">
        <f>J663-H663</f>
        <v>163.83000004300001</v>
      </c>
      <c r="L663" s="10">
        <f>G663/F663</f>
        <v>1.3202017268238586E-4</v>
      </c>
      <c r="M663" s="14">
        <f>IFERROR(ROUND(I663/G663,2),0)</f>
        <v>0.4</v>
      </c>
      <c r="N663" s="11">
        <f>IFERROR(H663/G663,0)</f>
        <v>1.2339999913999999</v>
      </c>
      <c r="O663" s="11">
        <f>IFERROR(H663/I663,0)</f>
        <v>3.0849999785</v>
      </c>
      <c r="P663" s="11">
        <f>IFERROR((J663-H663)/H663,0)</f>
        <v>26.552674422166127</v>
      </c>
    </row>
    <row r="664" spans="1:16">
      <c r="A664">
        <v>782228</v>
      </c>
      <c r="B664" t="s">
        <v>161</v>
      </c>
      <c r="C664" t="s">
        <v>3</v>
      </c>
      <c r="D664" t="s">
        <v>5</v>
      </c>
      <c r="E664" s="14">
        <v>63</v>
      </c>
      <c r="F664" s="14">
        <v>12318</v>
      </c>
      <c r="G664" s="14">
        <v>5</v>
      </c>
      <c r="H664" s="13">
        <v>6.3400001530000001</v>
      </c>
      <c r="I664" s="14">
        <v>2</v>
      </c>
      <c r="J664" s="11">
        <f>I664*85</f>
        <v>170</v>
      </c>
      <c r="K664" s="11">
        <f>J664-H664</f>
        <v>163.65999984699999</v>
      </c>
      <c r="L664" s="10">
        <f>G664/F664</f>
        <v>4.0591005033284623E-4</v>
      </c>
      <c r="M664" s="14">
        <f>IFERROR(ROUND(I664/G664,2),0)</f>
        <v>0.4</v>
      </c>
      <c r="N664" s="11">
        <f>IFERROR(H664/G664,0)</f>
        <v>1.2680000306000001</v>
      </c>
      <c r="O664" s="11">
        <f>IFERROR(H664/I664,0)</f>
        <v>3.1700000765</v>
      </c>
      <c r="P664" s="11">
        <f>IFERROR((J664-H664)/H664,0)</f>
        <v>25.813879479097228</v>
      </c>
    </row>
    <row r="665" spans="1:16">
      <c r="A665">
        <v>782337</v>
      </c>
      <c r="B665" t="s">
        <v>161</v>
      </c>
      <c r="C665" t="s">
        <v>4</v>
      </c>
      <c r="D665" t="s">
        <v>5</v>
      </c>
      <c r="E665" s="14">
        <v>16</v>
      </c>
      <c r="F665" s="14">
        <v>104578</v>
      </c>
      <c r="G665" s="14">
        <v>29</v>
      </c>
      <c r="H665" s="13">
        <v>39.25000095</v>
      </c>
      <c r="I665" s="14">
        <v>2</v>
      </c>
      <c r="J665" s="11">
        <f>I665*85</f>
        <v>170</v>
      </c>
      <c r="K665" s="11">
        <f>J665-H665</f>
        <v>130.74999904999999</v>
      </c>
      <c r="L665" s="10">
        <f>G665/F665</f>
        <v>2.7730497810246895E-4</v>
      </c>
      <c r="M665" s="14">
        <f>IFERROR(ROUND(I665/G665,2),0)</f>
        <v>7.0000000000000007E-2</v>
      </c>
      <c r="N665" s="11">
        <f>IFERROR(H665/G665,0)</f>
        <v>1.3534483086206897</v>
      </c>
      <c r="O665" s="11">
        <f>IFERROR(H665/I665,0)</f>
        <v>19.625000475</v>
      </c>
      <c r="P665" s="11">
        <f>IFERROR((J665-H665)/H665,0)</f>
        <v>3.3312100862509655</v>
      </c>
    </row>
    <row r="666" spans="1:16">
      <c r="A666">
        <v>782862</v>
      </c>
      <c r="B666" t="s">
        <v>161</v>
      </c>
      <c r="C666" t="s">
        <v>2</v>
      </c>
      <c r="D666" t="s">
        <v>5</v>
      </c>
      <c r="E666" s="14">
        <v>64</v>
      </c>
      <c r="F666" s="14">
        <v>5912</v>
      </c>
      <c r="G666" s="14">
        <v>1</v>
      </c>
      <c r="H666" s="13">
        <v>1.559999943</v>
      </c>
      <c r="I666" s="14">
        <v>2</v>
      </c>
      <c r="J666" s="11">
        <f>I666*85</f>
        <v>170</v>
      </c>
      <c r="K666" s="11">
        <f>J666-H666</f>
        <v>168.44000005699999</v>
      </c>
      <c r="L666" s="10">
        <f>G666/F666</f>
        <v>1.6914749661705008E-4</v>
      </c>
      <c r="M666" s="14">
        <f>IFERROR(ROUND(I666/G666,2),0)</f>
        <v>2</v>
      </c>
      <c r="N666" s="11">
        <f>IFERROR(H666/G666,0)</f>
        <v>1.559999943</v>
      </c>
      <c r="O666" s="11">
        <f>IFERROR(H666/I666,0)</f>
        <v>0.7799999715</v>
      </c>
      <c r="P666" s="11">
        <f>IFERROR((J666-H666)/H666,0)</f>
        <v>107.97436295611453</v>
      </c>
    </row>
    <row r="667" spans="1:16">
      <c r="A667">
        <v>950224</v>
      </c>
      <c r="B667" t="s">
        <v>161</v>
      </c>
      <c r="C667" t="s">
        <v>3</v>
      </c>
      <c r="D667" t="s">
        <v>1</v>
      </c>
      <c r="E667" s="14">
        <v>20</v>
      </c>
      <c r="F667" s="14">
        <v>2367</v>
      </c>
      <c r="G667" s="14">
        <v>2</v>
      </c>
      <c r="H667" s="13">
        <v>2.8399999139999998</v>
      </c>
      <c r="I667" s="14">
        <v>2</v>
      </c>
      <c r="J667" s="11">
        <f>I667*85</f>
        <v>170</v>
      </c>
      <c r="K667" s="11">
        <f>J667-H667</f>
        <v>167.160000086</v>
      </c>
      <c r="L667" s="10">
        <f>G667/F667</f>
        <v>8.449514152936206E-4</v>
      </c>
      <c r="M667" s="14">
        <f>IFERROR(ROUND(I667/G667,2),0)</f>
        <v>1</v>
      </c>
      <c r="N667" s="11">
        <f>IFERROR(H667/G667,0)</f>
        <v>1.4199999569999999</v>
      </c>
      <c r="O667" s="11">
        <f>IFERROR(H667/I667,0)</f>
        <v>1.4199999569999999</v>
      </c>
      <c r="P667" s="11">
        <f>IFERROR((J667-H667)/H667,0)</f>
        <v>58.859156742213905</v>
      </c>
    </row>
    <row r="668" spans="1:16">
      <c r="A668">
        <v>950326</v>
      </c>
      <c r="B668" t="s">
        <v>161</v>
      </c>
      <c r="C668" t="s">
        <v>2</v>
      </c>
      <c r="D668" t="s">
        <v>1</v>
      </c>
      <c r="E668" s="14">
        <v>16</v>
      </c>
      <c r="F668" s="14">
        <v>6607</v>
      </c>
      <c r="G668" s="14">
        <v>1</v>
      </c>
      <c r="H668" s="13">
        <v>1.3200000519999999</v>
      </c>
      <c r="I668" s="14">
        <v>2</v>
      </c>
      <c r="J668" s="11">
        <f>I668*85</f>
        <v>170</v>
      </c>
      <c r="K668" s="11">
        <f>J668-H668</f>
        <v>168.67999994799999</v>
      </c>
      <c r="L668" s="10">
        <f>G668/F668</f>
        <v>1.5135462388375965E-4</v>
      </c>
      <c r="M668" s="14">
        <f>IFERROR(ROUND(I668/G668,2),0)</f>
        <v>2</v>
      </c>
      <c r="N668" s="11">
        <f>IFERROR(H668/G668,0)</f>
        <v>1.3200000519999999</v>
      </c>
      <c r="O668" s="11">
        <f>IFERROR(H668/I668,0)</f>
        <v>0.66000002599999996</v>
      </c>
      <c r="P668" s="11">
        <f>IFERROR((J668-H668)/H668,0)</f>
        <v>127.78787371441709</v>
      </c>
    </row>
    <row r="669" spans="1:16">
      <c r="A669">
        <v>950878</v>
      </c>
      <c r="B669" t="s">
        <v>161</v>
      </c>
      <c r="C669" t="s">
        <v>3</v>
      </c>
      <c r="D669" t="s">
        <v>1</v>
      </c>
      <c r="E669" s="14">
        <v>10</v>
      </c>
      <c r="F669" s="14">
        <v>2967</v>
      </c>
      <c r="G669" s="14">
        <v>1</v>
      </c>
      <c r="H669" s="13">
        <v>1.5</v>
      </c>
      <c r="I669" s="14">
        <v>2</v>
      </c>
      <c r="J669" s="11">
        <f>I669*85</f>
        <v>170</v>
      </c>
      <c r="K669" s="11">
        <f>J669-H669</f>
        <v>168.5</v>
      </c>
      <c r="L669" s="10">
        <f>G669/F669</f>
        <v>3.370407819346141E-4</v>
      </c>
      <c r="M669" s="14">
        <f>IFERROR(ROUND(I669/G669,2),0)</f>
        <v>2</v>
      </c>
      <c r="N669" s="11">
        <f>IFERROR(H669/G669,0)</f>
        <v>1.5</v>
      </c>
      <c r="O669" s="11">
        <f>IFERROR(H669/I669,0)</f>
        <v>0.75</v>
      </c>
      <c r="P669" s="11">
        <f>IFERROR((J669-H669)/H669,0)</f>
        <v>112.33333333333333</v>
      </c>
    </row>
    <row r="670" spans="1:16">
      <c r="A670">
        <v>951105</v>
      </c>
      <c r="B670" t="s">
        <v>161</v>
      </c>
      <c r="C670" t="s">
        <v>4</v>
      </c>
      <c r="D670" t="s">
        <v>1</v>
      </c>
      <c r="E670" s="14">
        <v>16</v>
      </c>
      <c r="F670" s="14">
        <v>5894</v>
      </c>
      <c r="G670" s="14">
        <v>1</v>
      </c>
      <c r="H670" s="13">
        <v>1.539999962</v>
      </c>
      <c r="I670" s="14">
        <v>2</v>
      </c>
      <c r="J670" s="11">
        <f>I670*85</f>
        <v>170</v>
      </c>
      <c r="K670" s="11">
        <f>J670-H670</f>
        <v>168.460000038</v>
      </c>
      <c r="L670" s="10">
        <f>G670/F670</f>
        <v>1.6966406515100103E-4</v>
      </c>
      <c r="M670" s="14">
        <f>IFERROR(ROUND(I670/G670,2),0)</f>
        <v>2</v>
      </c>
      <c r="N670" s="11">
        <f>IFERROR(H670/G670,0)</f>
        <v>1.539999962</v>
      </c>
      <c r="O670" s="11">
        <f>IFERROR(H670/I670,0)</f>
        <v>0.769999981</v>
      </c>
      <c r="P670" s="11">
        <f>IFERROR((J670-H670)/H670,0)</f>
        <v>109.38961311350994</v>
      </c>
    </row>
    <row r="671" spans="1:16">
      <c r="A671">
        <v>951133</v>
      </c>
      <c r="B671" t="s">
        <v>161</v>
      </c>
      <c r="C671" t="s">
        <v>2</v>
      </c>
      <c r="D671" t="s">
        <v>1</v>
      </c>
      <c r="E671" s="14">
        <v>16</v>
      </c>
      <c r="F671" s="14">
        <v>9948</v>
      </c>
      <c r="G671" s="14">
        <v>2</v>
      </c>
      <c r="H671" s="13">
        <v>2.7200000289999999</v>
      </c>
      <c r="I671" s="14">
        <v>2</v>
      </c>
      <c r="J671" s="11">
        <f>I671*85</f>
        <v>170</v>
      </c>
      <c r="K671" s="11">
        <f>J671-H671</f>
        <v>167.279999971</v>
      </c>
      <c r="L671" s="10">
        <f>G671/F671</f>
        <v>2.010454362685967E-4</v>
      </c>
      <c r="M671" s="14">
        <f>IFERROR(ROUND(I671/G671,2),0)</f>
        <v>1</v>
      </c>
      <c r="N671" s="11">
        <f>IFERROR(H671/G671,0)</f>
        <v>1.3600000145</v>
      </c>
      <c r="O671" s="11">
        <f>IFERROR(H671/I671,0)</f>
        <v>1.3600000145</v>
      </c>
      <c r="P671" s="11">
        <f>IFERROR((J671-H671)/H671,0)</f>
        <v>61.499999333639714</v>
      </c>
    </row>
    <row r="672" spans="1:16">
      <c r="A672">
        <v>951225</v>
      </c>
      <c r="B672" t="s">
        <v>161</v>
      </c>
      <c r="C672" t="s">
        <v>2</v>
      </c>
      <c r="D672" t="s">
        <v>5</v>
      </c>
      <c r="E672" s="14">
        <v>22</v>
      </c>
      <c r="F672" s="14">
        <v>4621</v>
      </c>
      <c r="G672" s="14">
        <v>2</v>
      </c>
      <c r="H672" s="13">
        <v>3.25</v>
      </c>
      <c r="I672" s="14">
        <v>2</v>
      </c>
      <c r="J672" s="11">
        <f>I672*85</f>
        <v>170</v>
      </c>
      <c r="K672" s="11">
        <f>J672-H672</f>
        <v>166.75</v>
      </c>
      <c r="L672" s="10">
        <f>G672/F672</f>
        <v>4.3280675178532783E-4</v>
      </c>
      <c r="M672" s="14">
        <f>IFERROR(ROUND(I672/G672,2),0)</f>
        <v>1</v>
      </c>
      <c r="N672" s="11">
        <f>IFERROR(H672/G672,0)</f>
        <v>1.625</v>
      </c>
      <c r="O672" s="11">
        <f>IFERROR(H672/I672,0)</f>
        <v>1.625</v>
      </c>
      <c r="P672" s="11">
        <f>IFERROR((J672-H672)/H672,0)</f>
        <v>51.307692307692307</v>
      </c>
    </row>
    <row r="673" spans="1:16">
      <c r="A673">
        <v>951282</v>
      </c>
      <c r="B673" t="s">
        <v>161</v>
      </c>
      <c r="C673" t="s">
        <v>2</v>
      </c>
      <c r="D673" t="s">
        <v>5</v>
      </c>
      <c r="E673" s="14">
        <v>16</v>
      </c>
      <c r="F673" s="14">
        <v>5775</v>
      </c>
      <c r="G673" s="14">
        <v>1</v>
      </c>
      <c r="H673" s="13">
        <v>1.5800000430000001</v>
      </c>
      <c r="I673" s="14">
        <v>2</v>
      </c>
      <c r="J673" s="11">
        <f>I673*85</f>
        <v>170</v>
      </c>
      <c r="K673" s="11">
        <f>J673-H673</f>
        <v>168.41999995699999</v>
      </c>
      <c r="L673" s="10">
        <f>G673/F673</f>
        <v>1.7316017316017316E-4</v>
      </c>
      <c r="M673" s="14">
        <f>IFERROR(ROUND(I673/G673,2),0)</f>
        <v>2</v>
      </c>
      <c r="N673" s="11">
        <f>IFERROR(H673/G673,0)</f>
        <v>1.5800000430000001</v>
      </c>
      <c r="O673" s="11">
        <f>IFERROR(H673/I673,0)</f>
        <v>0.79000002150000004</v>
      </c>
      <c r="P673" s="11">
        <f>IFERROR((J673-H673)/H673,0)</f>
        <v>106.5949337806442</v>
      </c>
    </row>
    <row r="674" spans="1:16">
      <c r="A674">
        <v>951400</v>
      </c>
      <c r="B674" t="s">
        <v>161</v>
      </c>
      <c r="C674" t="s">
        <v>4</v>
      </c>
      <c r="D674" t="s">
        <v>5</v>
      </c>
      <c r="E674" s="14">
        <v>10</v>
      </c>
      <c r="F674" s="14">
        <v>24028</v>
      </c>
      <c r="G674" s="14">
        <v>9</v>
      </c>
      <c r="H674" s="13">
        <v>12.39000034</v>
      </c>
      <c r="I674" s="14">
        <v>2</v>
      </c>
      <c r="J674" s="11">
        <f>I674*85</f>
        <v>170</v>
      </c>
      <c r="K674" s="11">
        <f>J674-H674</f>
        <v>157.60999966</v>
      </c>
      <c r="L674" s="10">
        <f>G674/F674</f>
        <v>3.745630098218745E-4</v>
      </c>
      <c r="M674" s="14">
        <f>IFERROR(ROUND(I674/G674,2),0)</f>
        <v>0.22</v>
      </c>
      <c r="N674" s="11">
        <f>IFERROR(H674/G674,0)</f>
        <v>1.3766667044444445</v>
      </c>
      <c r="O674" s="11">
        <f>IFERROR(H674/I674,0)</f>
        <v>6.1950001700000001</v>
      </c>
      <c r="P674" s="11">
        <f>IFERROR((J674-H674)/H674,0)</f>
        <v>12.720742157784315</v>
      </c>
    </row>
    <row r="675" spans="1:16">
      <c r="A675">
        <v>951462</v>
      </c>
      <c r="B675" t="s">
        <v>161</v>
      </c>
      <c r="C675" t="s">
        <v>4</v>
      </c>
      <c r="D675" t="s">
        <v>5</v>
      </c>
      <c r="E675" s="14">
        <v>16</v>
      </c>
      <c r="F675" s="14">
        <v>7589</v>
      </c>
      <c r="G675" s="14">
        <v>2</v>
      </c>
      <c r="H675" s="13">
        <v>3.1500000950000002</v>
      </c>
      <c r="I675" s="14">
        <v>2</v>
      </c>
      <c r="J675" s="11">
        <f>I675*85</f>
        <v>170</v>
      </c>
      <c r="K675" s="11">
        <f>J675-H675</f>
        <v>166.849999905</v>
      </c>
      <c r="L675" s="10">
        <f>G675/F675</f>
        <v>2.635393332454869E-4</v>
      </c>
      <c r="M675" s="14">
        <f>IFERROR(ROUND(I675/G675,2),0)</f>
        <v>1</v>
      </c>
      <c r="N675" s="11">
        <f>IFERROR(H675/G675,0)</f>
        <v>1.5750000475000001</v>
      </c>
      <c r="O675" s="11">
        <f>IFERROR(H675/I675,0)</f>
        <v>1.5750000475000001</v>
      </c>
      <c r="P675" s="11">
        <f>IFERROR((J675-H675)/H675,0)</f>
        <v>52.968252340640007</v>
      </c>
    </row>
    <row r="676" spans="1:16">
      <c r="A676">
        <v>951812</v>
      </c>
      <c r="B676" t="s">
        <v>161</v>
      </c>
      <c r="C676" t="s">
        <v>2</v>
      </c>
      <c r="D676" t="s">
        <v>5</v>
      </c>
      <c r="E676" s="14">
        <v>16</v>
      </c>
      <c r="F676" s="14">
        <v>16274</v>
      </c>
      <c r="G676" s="14">
        <v>4</v>
      </c>
      <c r="H676" s="13">
        <v>6.079999924</v>
      </c>
      <c r="I676" s="14">
        <v>2</v>
      </c>
      <c r="J676" s="11">
        <f>I676*85</f>
        <v>170</v>
      </c>
      <c r="K676" s="11">
        <f>J676-H676</f>
        <v>163.92000007600001</v>
      </c>
      <c r="L676" s="10">
        <f>G676/F676</f>
        <v>2.4579083200196631E-4</v>
      </c>
      <c r="M676" s="14">
        <f>IFERROR(ROUND(I676/G676,2),0)</f>
        <v>0.5</v>
      </c>
      <c r="N676" s="11">
        <f>IFERROR(H676/G676,0)</f>
        <v>1.519999981</v>
      </c>
      <c r="O676" s="11">
        <f>IFERROR(H676/I676,0)</f>
        <v>3.039999962</v>
      </c>
      <c r="P676" s="11">
        <f>IFERROR((J676-H676)/H676,0)</f>
        <v>26.960526665296058</v>
      </c>
    </row>
    <row r="677" spans="1:16">
      <c r="A677">
        <v>951837</v>
      </c>
      <c r="B677" t="s">
        <v>161</v>
      </c>
      <c r="C677" t="s">
        <v>4</v>
      </c>
      <c r="D677" t="s">
        <v>5</v>
      </c>
      <c r="E677" s="14">
        <v>20</v>
      </c>
      <c r="F677" s="14">
        <v>2077</v>
      </c>
      <c r="G677" s="14">
        <v>1</v>
      </c>
      <c r="H677" s="13">
        <v>1.5099999900000001</v>
      </c>
      <c r="I677" s="14">
        <v>2</v>
      </c>
      <c r="J677" s="11">
        <f>I677*85</f>
        <v>170</v>
      </c>
      <c r="K677" s="11">
        <f>J677-H677</f>
        <v>168.49000000999999</v>
      </c>
      <c r="L677" s="10">
        <f>G677/F677</f>
        <v>4.8146364949446316E-4</v>
      </c>
      <c r="M677" s="14">
        <f>IFERROR(ROUND(I677/G677,2),0)</f>
        <v>2</v>
      </c>
      <c r="N677" s="11">
        <f>IFERROR(H677/G677,0)</f>
        <v>1.5099999900000001</v>
      </c>
      <c r="O677" s="11">
        <f>IFERROR(H677/I677,0)</f>
        <v>0.75499999500000003</v>
      </c>
      <c r="P677" s="11">
        <f>IFERROR((J677-H677)/H677,0)</f>
        <v>111.58278220253497</v>
      </c>
    </row>
    <row r="678" spans="1:16">
      <c r="A678">
        <v>951856</v>
      </c>
      <c r="B678" t="s">
        <v>161</v>
      </c>
      <c r="C678" t="s">
        <v>0</v>
      </c>
      <c r="D678" t="s">
        <v>5</v>
      </c>
      <c r="E678" s="14">
        <v>20</v>
      </c>
      <c r="F678" s="14">
        <v>4626</v>
      </c>
      <c r="G678" s="14">
        <v>2</v>
      </c>
      <c r="H678" s="13">
        <v>2.0999999049999998</v>
      </c>
      <c r="I678" s="14">
        <v>2</v>
      </c>
      <c r="J678" s="11">
        <f>I678*85</f>
        <v>170</v>
      </c>
      <c r="K678" s="11">
        <f>J678-H678</f>
        <v>167.900000095</v>
      </c>
      <c r="L678" s="10">
        <f>G678/F678</f>
        <v>4.3233895373973193E-4</v>
      </c>
      <c r="M678" s="14">
        <f>IFERROR(ROUND(I678/G678,2),0)</f>
        <v>1</v>
      </c>
      <c r="N678" s="11">
        <f>IFERROR(H678/G678,0)</f>
        <v>1.0499999524999999</v>
      </c>
      <c r="O678" s="11">
        <f>IFERROR(H678/I678,0)</f>
        <v>1.0499999524999999</v>
      </c>
      <c r="P678" s="11">
        <f>IFERROR((J678-H678)/H678,0)</f>
        <v>79.952384614512638</v>
      </c>
    </row>
    <row r="679" spans="1:16">
      <c r="A679">
        <v>951941</v>
      </c>
      <c r="B679" t="s">
        <v>161</v>
      </c>
      <c r="C679" t="s">
        <v>0</v>
      </c>
      <c r="D679" t="s">
        <v>5</v>
      </c>
      <c r="E679" s="14">
        <v>28</v>
      </c>
      <c r="F679" s="14">
        <v>2764</v>
      </c>
      <c r="G679" s="14">
        <v>1</v>
      </c>
      <c r="H679" s="13">
        <v>1.559999943</v>
      </c>
      <c r="I679" s="14">
        <v>2</v>
      </c>
      <c r="J679" s="11">
        <f>I679*85</f>
        <v>170</v>
      </c>
      <c r="K679" s="11">
        <f>J679-H679</f>
        <v>168.44000005699999</v>
      </c>
      <c r="L679" s="10">
        <f>G679/F679</f>
        <v>3.6179450072358897E-4</v>
      </c>
      <c r="M679" s="14">
        <f>IFERROR(ROUND(I679/G679,2),0)</f>
        <v>2</v>
      </c>
      <c r="N679" s="11">
        <f>IFERROR(H679/G679,0)</f>
        <v>1.559999943</v>
      </c>
      <c r="O679" s="11">
        <f>IFERROR(H679/I679,0)</f>
        <v>0.7799999715</v>
      </c>
      <c r="P679" s="11">
        <f>IFERROR((J679-H679)/H679,0)</f>
        <v>107.97436295611453</v>
      </c>
    </row>
    <row r="680" spans="1:16">
      <c r="A680">
        <v>952031</v>
      </c>
      <c r="B680" t="s">
        <v>161</v>
      </c>
      <c r="C680" t="s">
        <v>3</v>
      </c>
      <c r="D680" t="s">
        <v>5</v>
      </c>
      <c r="E680" s="14">
        <v>16</v>
      </c>
      <c r="F680" s="14">
        <v>28169</v>
      </c>
      <c r="G680" s="14">
        <v>8</v>
      </c>
      <c r="H680" s="13">
        <v>12.369999890000001</v>
      </c>
      <c r="I680" s="14">
        <v>2</v>
      </c>
      <c r="J680" s="11">
        <f>I680*85</f>
        <v>170</v>
      </c>
      <c r="K680" s="11">
        <f>J680-H680</f>
        <v>157.63000011</v>
      </c>
      <c r="L680" s="10">
        <f>G680/F680</f>
        <v>2.8400014200007101E-4</v>
      </c>
      <c r="M680" s="14">
        <f>IFERROR(ROUND(I680/G680,2),0)</f>
        <v>0.25</v>
      </c>
      <c r="N680" s="11">
        <f>IFERROR(H680/G680,0)</f>
        <v>1.5462499862500001</v>
      </c>
      <c r="O680" s="11">
        <f>IFERROR(H680/I680,0)</f>
        <v>6.1849999450000004</v>
      </c>
      <c r="P680" s="11">
        <f>IFERROR((J680-H680)/H680,0)</f>
        <v>12.742926557131925</v>
      </c>
    </row>
    <row r="681" spans="1:16">
      <c r="A681">
        <v>1121759</v>
      </c>
      <c r="B681" t="s">
        <v>162</v>
      </c>
      <c r="C681" t="s">
        <v>0</v>
      </c>
      <c r="D681" t="s">
        <v>5</v>
      </c>
      <c r="E681" s="14">
        <v>18</v>
      </c>
      <c r="F681" s="14">
        <v>515812</v>
      </c>
      <c r="G681" s="14">
        <v>69</v>
      </c>
      <c r="H681" s="13">
        <v>117.6299995</v>
      </c>
      <c r="I681" s="14">
        <v>2</v>
      </c>
      <c r="J681" s="11">
        <f>I681*85</f>
        <v>170</v>
      </c>
      <c r="K681" s="11">
        <f>J681-H681</f>
        <v>52.370000500000003</v>
      </c>
      <c r="L681" s="10">
        <f>G681/F681</f>
        <v>1.3376966801858042E-4</v>
      </c>
      <c r="M681" s="14">
        <f>IFERROR(ROUND(I681/G681,2),0)</f>
        <v>0.03</v>
      </c>
      <c r="N681" s="11">
        <f>IFERROR(H681/G681,0)</f>
        <v>1.7047826014492753</v>
      </c>
      <c r="O681" s="11">
        <f>IFERROR(H681/I681,0)</f>
        <v>58.814999749999998</v>
      </c>
      <c r="P681" s="11">
        <f>IFERROR((J681-H681)/H681,0)</f>
        <v>0.44520956152856234</v>
      </c>
    </row>
    <row r="682" spans="1:16">
      <c r="A682">
        <v>1121793</v>
      </c>
      <c r="B682" t="s">
        <v>162</v>
      </c>
      <c r="C682" t="s">
        <v>0</v>
      </c>
      <c r="D682" t="s">
        <v>5</v>
      </c>
      <c r="E682" s="14">
        <v>24</v>
      </c>
      <c r="F682" s="14">
        <v>185665</v>
      </c>
      <c r="G682" s="14">
        <v>39</v>
      </c>
      <c r="H682" s="13">
        <v>62.140000579999999</v>
      </c>
      <c r="I682" s="14">
        <v>2</v>
      </c>
      <c r="J682" s="11">
        <f>I682*85</f>
        <v>170</v>
      </c>
      <c r="K682" s="11">
        <f>J682-H682</f>
        <v>107.85999942000001</v>
      </c>
      <c r="L682" s="10">
        <f>G682/F682</f>
        <v>2.1005574556324564E-4</v>
      </c>
      <c r="M682" s="14">
        <f>IFERROR(ROUND(I682/G682,2),0)</f>
        <v>0.05</v>
      </c>
      <c r="N682" s="11">
        <f>IFERROR(H682/G682,0)</f>
        <v>1.5933333482051282</v>
      </c>
      <c r="O682" s="11">
        <f>IFERROR(H682/I682,0)</f>
        <v>31.070000289999999</v>
      </c>
      <c r="P682" s="11">
        <f>IFERROR((J682-H682)/H682,0)</f>
        <v>1.7357579403485743</v>
      </c>
    </row>
    <row r="683" spans="1:16">
      <c r="A683">
        <v>1121803</v>
      </c>
      <c r="B683" t="s">
        <v>162</v>
      </c>
      <c r="C683" t="s">
        <v>0</v>
      </c>
      <c r="D683" t="s">
        <v>5</v>
      </c>
      <c r="E683" s="14">
        <v>25</v>
      </c>
      <c r="F683" s="14">
        <v>588617</v>
      </c>
      <c r="G683" s="14">
        <v>119</v>
      </c>
      <c r="H683" s="13">
        <v>169.91999730000001</v>
      </c>
      <c r="I683" s="14">
        <v>2</v>
      </c>
      <c r="J683" s="11">
        <f>I683*85</f>
        <v>170</v>
      </c>
      <c r="K683" s="11">
        <f>J683-H683</f>
        <v>8.000269999999432E-2</v>
      </c>
      <c r="L683" s="10">
        <f>G683/F683</f>
        <v>2.0216881265746657E-4</v>
      </c>
      <c r="M683" s="14">
        <f>IFERROR(ROUND(I683/G683,2),0)</f>
        <v>0.02</v>
      </c>
      <c r="N683" s="11">
        <f>IFERROR(H683/G683,0)</f>
        <v>1.42789913697479</v>
      </c>
      <c r="O683" s="11">
        <f>IFERROR(H683/I683,0)</f>
        <v>84.959998650000003</v>
      </c>
      <c r="P683" s="11">
        <f>IFERROR((J683-H683)/H683,0)</f>
        <v>4.708256901555066E-4</v>
      </c>
    </row>
    <row r="684" spans="1:16">
      <c r="A684">
        <v>1121820</v>
      </c>
      <c r="B684" t="s">
        <v>162</v>
      </c>
      <c r="C684" t="s">
        <v>0</v>
      </c>
      <c r="D684" t="s">
        <v>5</v>
      </c>
      <c r="E684" s="14">
        <v>28</v>
      </c>
      <c r="F684" s="14">
        <v>11471</v>
      </c>
      <c r="G684" s="14">
        <v>1</v>
      </c>
      <c r="H684" s="13">
        <v>1.5700000519999999</v>
      </c>
      <c r="I684" s="14">
        <v>2</v>
      </c>
      <c r="J684" s="11">
        <f>I684*85</f>
        <v>170</v>
      </c>
      <c r="K684" s="11">
        <f>J684-H684</f>
        <v>168.42999994799999</v>
      </c>
      <c r="L684" s="10">
        <f>G684/F684</f>
        <v>8.7176357771772298E-5</v>
      </c>
      <c r="M684" s="14">
        <f>IFERROR(ROUND(I684/G684,2),0)</f>
        <v>2</v>
      </c>
      <c r="N684" s="11">
        <f>IFERROR(H684/G684,0)</f>
        <v>1.5700000519999999</v>
      </c>
      <c r="O684" s="11">
        <f>IFERROR(H684/I684,0)</f>
        <v>0.78500002599999996</v>
      </c>
      <c r="P684" s="11">
        <f>IFERROR((J684-H684)/H684,0)</f>
        <v>107.28025119071779</v>
      </c>
    </row>
    <row r="685" spans="1:16">
      <c r="A685">
        <v>1121833</v>
      </c>
      <c r="B685" t="s">
        <v>162</v>
      </c>
      <c r="C685" t="s">
        <v>0</v>
      </c>
      <c r="D685" t="s">
        <v>5</v>
      </c>
      <c r="E685" s="14">
        <v>30</v>
      </c>
      <c r="F685" s="14">
        <v>101856</v>
      </c>
      <c r="G685" s="14">
        <v>16</v>
      </c>
      <c r="H685" s="13">
        <v>25.220000389999999</v>
      </c>
      <c r="I685" s="14">
        <v>2</v>
      </c>
      <c r="J685" s="11">
        <f>I685*85</f>
        <v>170</v>
      </c>
      <c r="K685" s="11">
        <f>J685-H685</f>
        <v>144.77999961</v>
      </c>
      <c r="L685" s="10">
        <f>G685/F685</f>
        <v>1.5708451146716933E-4</v>
      </c>
      <c r="M685" s="14">
        <f>IFERROR(ROUND(I685/G685,2),0)</f>
        <v>0.13</v>
      </c>
      <c r="N685" s="11">
        <f>IFERROR(H685/G685,0)</f>
        <v>1.5762500243749999</v>
      </c>
      <c r="O685" s="11">
        <f>IFERROR(H685/I685,0)</f>
        <v>12.610000195</v>
      </c>
      <c r="P685" s="11">
        <f>IFERROR((J685-H685)/H685,0)</f>
        <v>5.7406818941766087</v>
      </c>
    </row>
    <row r="686" spans="1:16">
      <c r="A686">
        <v>1121869</v>
      </c>
      <c r="B686" t="s">
        <v>162</v>
      </c>
      <c r="C686" t="s">
        <v>0</v>
      </c>
      <c r="D686" t="s">
        <v>5</v>
      </c>
      <c r="E686" s="14">
        <v>65</v>
      </c>
      <c r="F686" s="14">
        <v>17870</v>
      </c>
      <c r="G686" s="14">
        <v>2</v>
      </c>
      <c r="H686" s="13">
        <v>2.6200000050000001</v>
      </c>
      <c r="I686" s="14">
        <v>2</v>
      </c>
      <c r="J686" s="11">
        <f>I686*85</f>
        <v>170</v>
      </c>
      <c r="K686" s="11">
        <f>J686-H686</f>
        <v>167.37999999499999</v>
      </c>
      <c r="L686" s="10">
        <f>G686/F686</f>
        <v>1.1191941801902631E-4</v>
      </c>
      <c r="M686" s="14">
        <f>IFERROR(ROUND(I686/G686,2),0)</f>
        <v>1</v>
      </c>
      <c r="N686" s="11">
        <f>IFERROR(H686/G686,0)</f>
        <v>1.3100000025</v>
      </c>
      <c r="O686" s="11">
        <f>IFERROR(H686/I686,0)</f>
        <v>1.3100000025</v>
      </c>
      <c r="P686" s="11">
        <f>IFERROR((J686-H686)/H686,0)</f>
        <v>63.885496059378816</v>
      </c>
    </row>
    <row r="687" spans="1:16">
      <c r="A687">
        <v>1121876</v>
      </c>
      <c r="B687" t="s">
        <v>162</v>
      </c>
      <c r="C687" t="s">
        <v>0</v>
      </c>
      <c r="D687" t="s">
        <v>5</v>
      </c>
      <c r="E687" s="14">
        <v>2</v>
      </c>
      <c r="F687" s="14">
        <v>82455</v>
      </c>
      <c r="G687" s="14">
        <v>15</v>
      </c>
      <c r="H687" s="13">
        <v>22.049999710000002</v>
      </c>
      <c r="I687" s="14">
        <v>2</v>
      </c>
      <c r="J687" s="11">
        <f>I687*85</f>
        <v>170</v>
      </c>
      <c r="K687" s="11">
        <f>J687-H687</f>
        <v>147.95000028999999</v>
      </c>
      <c r="L687" s="10">
        <f>G687/F687</f>
        <v>1.8191740949608878E-4</v>
      </c>
      <c r="M687" s="14">
        <f>IFERROR(ROUND(I687/G687,2),0)</f>
        <v>0.13</v>
      </c>
      <c r="N687" s="11">
        <f>IFERROR(H687/G687,0)</f>
        <v>1.4699999806666668</v>
      </c>
      <c r="O687" s="11">
        <f>IFERROR(H687/I687,0)</f>
        <v>11.024999855000001</v>
      </c>
      <c r="P687" s="11">
        <f>IFERROR((J687-H687)/H687,0)</f>
        <v>6.7097506682915045</v>
      </c>
    </row>
    <row r="688" spans="1:16">
      <c r="A688">
        <v>1121888</v>
      </c>
      <c r="B688" t="s">
        <v>162</v>
      </c>
      <c r="C688" t="s">
        <v>0</v>
      </c>
      <c r="D688" t="s">
        <v>5</v>
      </c>
      <c r="E688" s="14">
        <v>66</v>
      </c>
      <c r="F688" s="14">
        <v>41672</v>
      </c>
      <c r="G688" s="14">
        <v>6</v>
      </c>
      <c r="H688" s="13">
        <v>10.54999995</v>
      </c>
      <c r="I688" s="14">
        <v>2</v>
      </c>
      <c r="J688" s="11">
        <f>I688*85</f>
        <v>170</v>
      </c>
      <c r="K688" s="11">
        <f>J688-H688</f>
        <v>159.45000005</v>
      </c>
      <c r="L688" s="10">
        <f>G688/F688</f>
        <v>1.4398157035899406E-4</v>
      </c>
      <c r="M688" s="14">
        <f>IFERROR(ROUND(I688/G688,2),0)</f>
        <v>0.33</v>
      </c>
      <c r="N688" s="11">
        <f>IFERROR(H688/G688,0)</f>
        <v>1.7583333249999999</v>
      </c>
      <c r="O688" s="11">
        <f>IFERROR(H688/I688,0)</f>
        <v>5.2749999750000001</v>
      </c>
      <c r="P688" s="11">
        <f>IFERROR((J688-H688)/H688,0)</f>
        <v>15.113744152197839</v>
      </c>
    </row>
    <row r="689" spans="1:16">
      <c r="A689">
        <v>1121933</v>
      </c>
      <c r="B689" t="s">
        <v>162</v>
      </c>
      <c r="C689" t="s">
        <v>2</v>
      </c>
      <c r="D689" t="s">
        <v>5</v>
      </c>
      <c r="E689" s="14">
        <v>22</v>
      </c>
      <c r="F689" s="14">
        <v>325653</v>
      </c>
      <c r="G689" s="14">
        <v>63</v>
      </c>
      <c r="H689" s="13">
        <v>89.350000260000002</v>
      </c>
      <c r="I689" s="14">
        <v>2</v>
      </c>
      <c r="J689" s="11">
        <f>I689*85</f>
        <v>170</v>
      </c>
      <c r="K689" s="11">
        <f>J689-H689</f>
        <v>80.649999739999998</v>
      </c>
      <c r="L689" s="10">
        <f>G689/F689</f>
        <v>1.934574531786902E-4</v>
      </c>
      <c r="M689" s="14">
        <f>IFERROR(ROUND(I689/G689,2),0)</f>
        <v>0.03</v>
      </c>
      <c r="N689" s="11">
        <f>IFERROR(H689/G689,0)</f>
        <v>1.4182539723809524</v>
      </c>
      <c r="O689" s="11">
        <f>IFERROR(H689/I689,0)</f>
        <v>44.675000130000001</v>
      </c>
      <c r="P689" s="11">
        <f>IFERROR((J689-H689)/H689,0)</f>
        <v>0.90263010078697448</v>
      </c>
    </row>
    <row r="690" spans="1:16">
      <c r="A690">
        <v>1121971</v>
      </c>
      <c r="B690" t="s">
        <v>162</v>
      </c>
      <c r="C690" t="s">
        <v>2</v>
      </c>
      <c r="D690" t="s">
        <v>5</v>
      </c>
      <c r="E690" s="14">
        <v>28</v>
      </c>
      <c r="F690" s="14">
        <v>41111</v>
      </c>
      <c r="G690" s="14">
        <v>8</v>
      </c>
      <c r="H690" s="13">
        <v>10.96000016</v>
      </c>
      <c r="I690" s="14">
        <v>2</v>
      </c>
      <c r="J690" s="11">
        <f>I690*85</f>
        <v>170</v>
      </c>
      <c r="K690" s="11">
        <f>J690-H690</f>
        <v>159.03999984000001</v>
      </c>
      <c r="L690" s="10">
        <f>G690/F690</f>
        <v>1.9459512052735276E-4</v>
      </c>
      <c r="M690" s="14">
        <f>IFERROR(ROUND(I690/G690,2),0)</f>
        <v>0.25</v>
      </c>
      <c r="N690" s="11">
        <f>IFERROR(H690/G690,0)</f>
        <v>1.37000002</v>
      </c>
      <c r="O690" s="11">
        <f>IFERROR(H690/I690,0)</f>
        <v>5.4800000799999999</v>
      </c>
      <c r="P690" s="11">
        <f>IFERROR((J690-H690)/H690,0)</f>
        <v>14.510948678672284</v>
      </c>
    </row>
    <row r="691" spans="1:16">
      <c r="A691">
        <v>1121977</v>
      </c>
      <c r="B691" t="s">
        <v>162</v>
      </c>
      <c r="C691" t="s">
        <v>2</v>
      </c>
      <c r="D691" t="s">
        <v>5</v>
      </c>
      <c r="E691" s="14">
        <v>29</v>
      </c>
      <c r="F691" s="14">
        <v>139596</v>
      </c>
      <c r="G691" s="14">
        <v>26</v>
      </c>
      <c r="H691" s="13">
        <v>42.410000320000002</v>
      </c>
      <c r="I691" s="14">
        <v>2</v>
      </c>
      <c r="J691" s="11">
        <f>I691*85</f>
        <v>170</v>
      </c>
      <c r="K691" s="11">
        <f>J691-H691</f>
        <v>127.58999968000001</v>
      </c>
      <c r="L691" s="10">
        <f>G691/F691</f>
        <v>1.8625175506461504E-4</v>
      </c>
      <c r="M691" s="14">
        <f>IFERROR(ROUND(I691/G691,2),0)</f>
        <v>0.08</v>
      </c>
      <c r="N691" s="11">
        <f>IFERROR(H691/G691,0)</f>
        <v>1.6311538584615386</v>
      </c>
      <c r="O691" s="11">
        <f>IFERROR(H691/I691,0)</f>
        <v>21.205000160000001</v>
      </c>
      <c r="P691" s="11">
        <f>IFERROR((J691-H691)/H691,0)</f>
        <v>3.0084885337723102</v>
      </c>
    </row>
    <row r="692" spans="1:16">
      <c r="A692">
        <v>1122040</v>
      </c>
      <c r="B692" t="s">
        <v>162</v>
      </c>
      <c r="C692" t="s">
        <v>3</v>
      </c>
      <c r="D692" t="s">
        <v>5</v>
      </c>
      <c r="E692" s="14">
        <v>10</v>
      </c>
      <c r="F692" s="14">
        <v>205289</v>
      </c>
      <c r="G692" s="14">
        <v>48</v>
      </c>
      <c r="H692" s="13">
        <v>71.530001040000002</v>
      </c>
      <c r="I692" s="14">
        <v>2</v>
      </c>
      <c r="J692" s="11">
        <f>I692*85</f>
        <v>170</v>
      </c>
      <c r="K692" s="11">
        <f>J692-H692</f>
        <v>98.469998959999998</v>
      </c>
      <c r="L692" s="10">
        <f>G692/F692</f>
        <v>2.3381671692102352E-4</v>
      </c>
      <c r="M692" s="14">
        <f>IFERROR(ROUND(I692/G692,2),0)</f>
        <v>0.04</v>
      </c>
      <c r="N692" s="11">
        <f>IFERROR(H692/G692,0)</f>
        <v>1.490208355</v>
      </c>
      <c r="O692" s="11">
        <f>IFERROR(H692/I692,0)</f>
        <v>35.765000520000001</v>
      </c>
      <c r="P692" s="11">
        <f>IFERROR((J692-H692)/H692,0)</f>
        <v>1.3766251576724429</v>
      </c>
    </row>
    <row r="693" spans="1:16">
      <c r="A693">
        <v>1122044</v>
      </c>
      <c r="B693" t="s">
        <v>162</v>
      </c>
      <c r="C693" t="s">
        <v>3</v>
      </c>
      <c r="D693" t="s">
        <v>5</v>
      </c>
      <c r="E693" s="14">
        <v>10</v>
      </c>
      <c r="F693" s="14">
        <v>233043</v>
      </c>
      <c r="G693" s="14">
        <v>49</v>
      </c>
      <c r="H693" s="13">
        <v>65.030000329999993</v>
      </c>
      <c r="I693" s="14">
        <v>2</v>
      </c>
      <c r="J693" s="11">
        <f>I693*85</f>
        <v>170</v>
      </c>
      <c r="K693" s="11">
        <f>J693-H693</f>
        <v>104.96999967000001</v>
      </c>
      <c r="L693" s="10">
        <f>G693/F693</f>
        <v>2.1026162553691808E-4</v>
      </c>
      <c r="M693" s="14">
        <f>IFERROR(ROUND(I693/G693,2),0)</f>
        <v>0.04</v>
      </c>
      <c r="N693" s="11">
        <f>IFERROR(H693/G693,0)</f>
        <v>1.3271428638775509</v>
      </c>
      <c r="O693" s="11">
        <f>IFERROR(H693/I693,0)</f>
        <v>32.515000164999996</v>
      </c>
      <c r="P693" s="11">
        <f>IFERROR((J693-H693)/H693,0)</f>
        <v>1.6141780583933762</v>
      </c>
    </row>
    <row r="694" spans="1:16">
      <c r="A694">
        <v>1122052</v>
      </c>
      <c r="B694" t="s">
        <v>162</v>
      </c>
      <c r="C694" t="s">
        <v>3</v>
      </c>
      <c r="D694" t="s">
        <v>5</v>
      </c>
      <c r="E694" s="14">
        <v>16</v>
      </c>
      <c r="F694" s="14">
        <v>265038</v>
      </c>
      <c r="G694" s="14">
        <v>51</v>
      </c>
      <c r="H694" s="13">
        <v>78.459999319999994</v>
      </c>
      <c r="I694" s="14">
        <v>2</v>
      </c>
      <c r="J694" s="11">
        <f>I694*85</f>
        <v>170</v>
      </c>
      <c r="K694" s="11">
        <f>J694-H694</f>
        <v>91.540000680000006</v>
      </c>
      <c r="L694" s="10">
        <f>G694/F694</f>
        <v>1.9242523713580695E-4</v>
      </c>
      <c r="M694" s="14">
        <f>IFERROR(ROUND(I694/G694,2),0)</f>
        <v>0.04</v>
      </c>
      <c r="N694" s="11">
        <f>IFERROR(H694/G694,0)</f>
        <v>1.5384313592156862</v>
      </c>
      <c r="O694" s="11">
        <f>IFERROR(H694/I694,0)</f>
        <v>39.229999659999997</v>
      </c>
      <c r="P694" s="11">
        <f>IFERROR((J694-H694)/H694,0)</f>
        <v>1.1667091699383412</v>
      </c>
    </row>
    <row r="695" spans="1:16">
      <c r="A695">
        <v>1122102</v>
      </c>
      <c r="B695" t="s">
        <v>162</v>
      </c>
      <c r="C695" t="s">
        <v>3</v>
      </c>
      <c r="D695" t="s">
        <v>5</v>
      </c>
      <c r="E695" s="14">
        <v>25</v>
      </c>
      <c r="F695" s="14">
        <v>138154</v>
      </c>
      <c r="G695" s="14">
        <v>35</v>
      </c>
      <c r="H695" s="13">
        <v>48.939998629999998</v>
      </c>
      <c r="I695" s="14">
        <v>2</v>
      </c>
      <c r="J695" s="11">
        <f>I695*85</f>
        <v>170</v>
      </c>
      <c r="K695" s="11">
        <f>J695-H695</f>
        <v>121.06000137000001</v>
      </c>
      <c r="L695" s="10">
        <f>G695/F695</f>
        <v>2.5334047512196533E-4</v>
      </c>
      <c r="M695" s="14">
        <f>IFERROR(ROUND(I695/G695,2),0)</f>
        <v>0.06</v>
      </c>
      <c r="N695" s="11">
        <f>IFERROR(H695/G695,0)</f>
        <v>1.3982856751428572</v>
      </c>
      <c r="O695" s="11">
        <f>IFERROR(H695/I695,0)</f>
        <v>24.469999314999999</v>
      </c>
      <c r="P695" s="11">
        <f>IFERROR((J695-H695)/H695,0)</f>
        <v>2.4736412905371594</v>
      </c>
    </row>
    <row r="696" spans="1:16">
      <c r="A696">
        <v>1122103</v>
      </c>
      <c r="B696" t="s">
        <v>162</v>
      </c>
      <c r="C696" t="s">
        <v>3</v>
      </c>
      <c r="D696" t="s">
        <v>5</v>
      </c>
      <c r="E696" s="14">
        <v>25</v>
      </c>
      <c r="F696" s="14">
        <v>270124</v>
      </c>
      <c r="G696" s="14">
        <v>69</v>
      </c>
      <c r="H696" s="13">
        <v>95.84999895</v>
      </c>
      <c r="I696" s="14">
        <v>2</v>
      </c>
      <c r="J696" s="11">
        <f>I696*85</f>
        <v>170</v>
      </c>
      <c r="K696" s="11">
        <f>J696-H696</f>
        <v>74.15000105</v>
      </c>
      <c r="L696" s="10">
        <f>G696/F696</f>
        <v>2.5543824317720751E-4</v>
      </c>
      <c r="M696" s="14">
        <f>IFERROR(ROUND(I696/G696,2),0)</f>
        <v>0.03</v>
      </c>
      <c r="N696" s="11">
        <f>IFERROR(H696/G696,0)</f>
        <v>1.3891304195652174</v>
      </c>
      <c r="O696" s="11">
        <f>IFERROR(H696/I696,0)</f>
        <v>47.924999475</v>
      </c>
      <c r="P696" s="11">
        <f>IFERROR((J696-H696)/H696,0)</f>
        <v>0.77360460993515745</v>
      </c>
    </row>
    <row r="697" spans="1:16">
      <c r="A697">
        <v>1122107</v>
      </c>
      <c r="B697" t="s">
        <v>162</v>
      </c>
      <c r="C697" t="s">
        <v>3</v>
      </c>
      <c r="D697" t="s">
        <v>5</v>
      </c>
      <c r="E697" s="14">
        <v>26</v>
      </c>
      <c r="F697" s="14">
        <v>682046</v>
      </c>
      <c r="G697" s="14">
        <v>183</v>
      </c>
      <c r="H697" s="13">
        <v>254.419997</v>
      </c>
      <c r="I697" s="14">
        <v>2</v>
      </c>
      <c r="J697" s="11">
        <f>I697*85</f>
        <v>170</v>
      </c>
      <c r="K697" s="11">
        <f>J697-H697</f>
        <v>-84.419996999999995</v>
      </c>
      <c r="L697" s="10">
        <f>G697/F697</f>
        <v>2.6831034856886486E-4</v>
      </c>
      <c r="M697" s="14">
        <f>IFERROR(ROUND(I697/G697,2),0)</f>
        <v>0.01</v>
      </c>
      <c r="N697" s="11">
        <f>IFERROR(H697/G697,0)</f>
        <v>1.3902732076502733</v>
      </c>
      <c r="O697" s="11">
        <f>IFERROR(H697/I697,0)</f>
        <v>127.2099985</v>
      </c>
      <c r="P697" s="11">
        <f>IFERROR((J697-H697)/H697,0)</f>
        <v>-0.33181352879270726</v>
      </c>
    </row>
    <row r="698" spans="1:16">
      <c r="A698">
        <v>1122165</v>
      </c>
      <c r="B698" t="s">
        <v>162</v>
      </c>
      <c r="C698" t="s">
        <v>3</v>
      </c>
      <c r="D698" t="s">
        <v>5</v>
      </c>
      <c r="E698" s="14">
        <v>65</v>
      </c>
      <c r="F698" s="14">
        <v>55823</v>
      </c>
      <c r="G698" s="14">
        <v>13</v>
      </c>
      <c r="H698" s="13">
        <v>21.10999966</v>
      </c>
      <c r="I698" s="14">
        <v>2</v>
      </c>
      <c r="J698" s="11">
        <f>I698*85</f>
        <v>170</v>
      </c>
      <c r="K698" s="11">
        <f>J698-H698</f>
        <v>148.89000034</v>
      </c>
      <c r="L698" s="10">
        <f>G698/F698</f>
        <v>2.328789208749082E-4</v>
      </c>
      <c r="M698" s="14">
        <f>IFERROR(ROUND(I698/G698,2),0)</f>
        <v>0.15</v>
      </c>
      <c r="N698" s="11">
        <f>IFERROR(H698/G698,0)</f>
        <v>1.6238461276923077</v>
      </c>
      <c r="O698" s="11">
        <f>IFERROR(H698/I698,0)</f>
        <v>10.55499983</v>
      </c>
      <c r="P698" s="11">
        <f>IFERROR((J698-H698)/H698,0)</f>
        <v>7.0530555536730883</v>
      </c>
    </row>
    <row r="699" spans="1:16">
      <c r="A699">
        <v>1122183</v>
      </c>
      <c r="B699" t="s">
        <v>162</v>
      </c>
      <c r="C699" t="s">
        <v>3</v>
      </c>
      <c r="D699" t="s">
        <v>5</v>
      </c>
      <c r="E699" s="14">
        <v>66</v>
      </c>
      <c r="F699" s="14">
        <v>66017</v>
      </c>
      <c r="G699" s="14">
        <v>17</v>
      </c>
      <c r="H699" s="13">
        <v>24.220000150000001</v>
      </c>
      <c r="I699" s="14">
        <v>2</v>
      </c>
      <c r="J699" s="11">
        <f>I699*85</f>
        <v>170</v>
      </c>
      <c r="K699" s="11">
        <f>J699-H699</f>
        <v>145.77999985</v>
      </c>
      <c r="L699" s="10">
        <f>G699/F699</f>
        <v>2.5750942938939969E-4</v>
      </c>
      <c r="M699" s="14">
        <f>IFERROR(ROUND(I699/G699,2),0)</f>
        <v>0.12</v>
      </c>
      <c r="N699" s="11">
        <f>IFERROR(H699/G699,0)</f>
        <v>1.4247058911764707</v>
      </c>
      <c r="O699" s="11">
        <f>IFERROR(H699/I699,0)</f>
        <v>12.110000075</v>
      </c>
      <c r="P699" s="11">
        <f>IFERROR((J699-H699)/H699,0)</f>
        <v>6.0189925246552898</v>
      </c>
    </row>
    <row r="700" spans="1:16">
      <c r="A700">
        <v>1122200</v>
      </c>
      <c r="B700" t="s">
        <v>162</v>
      </c>
      <c r="C700" t="s">
        <v>4</v>
      </c>
      <c r="D700" t="s">
        <v>5</v>
      </c>
      <c r="E700" s="14">
        <v>15</v>
      </c>
      <c r="F700" s="14">
        <v>559554</v>
      </c>
      <c r="G700" s="14">
        <v>139</v>
      </c>
      <c r="H700" s="13">
        <v>195.07999939999999</v>
      </c>
      <c r="I700" s="14">
        <v>2</v>
      </c>
      <c r="J700" s="11">
        <f>I700*85</f>
        <v>170</v>
      </c>
      <c r="K700" s="11">
        <f>J700-H700</f>
        <v>-25.079999399999991</v>
      </c>
      <c r="L700" s="10">
        <f>G700/F700</f>
        <v>2.4841212823069803E-4</v>
      </c>
      <c r="M700" s="14">
        <f>IFERROR(ROUND(I700/G700,2),0)</f>
        <v>0.01</v>
      </c>
      <c r="N700" s="11">
        <f>IFERROR(H700/G700,0)</f>
        <v>1.4034532330935252</v>
      </c>
      <c r="O700" s="11">
        <f>IFERROR(H700/I700,0)</f>
        <v>97.539999699999996</v>
      </c>
      <c r="P700" s="11">
        <f>IFERROR((J700-H700)/H700,0)</f>
        <v>-0.1285626382875619</v>
      </c>
    </row>
    <row r="701" spans="1:16">
      <c r="A701">
        <v>1122201</v>
      </c>
      <c r="B701" t="s">
        <v>162</v>
      </c>
      <c r="C701" t="s">
        <v>4</v>
      </c>
      <c r="D701" t="s">
        <v>5</v>
      </c>
      <c r="E701" s="14">
        <v>16</v>
      </c>
      <c r="F701" s="14">
        <v>320757</v>
      </c>
      <c r="G701" s="14">
        <v>68</v>
      </c>
      <c r="H701" s="13">
        <v>104.68999890000001</v>
      </c>
      <c r="I701" s="14">
        <v>2</v>
      </c>
      <c r="J701" s="11">
        <f>I701*85</f>
        <v>170</v>
      </c>
      <c r="K701" s="11">
        <f>J701-H701</f>
        <v>65.310001099999994</v>
      </c>
      <c r="L701" s="10">
        <f>G701/F701</f>
        <v>2.1199849106956357E-4</v>
      </c>
      <c r="M701" s="14">
        <f>IFERROR(ROUND(I701/G701,2),0)</f>
        <v>0.03</v>
      </c>
      <c r="N701" s="11">
        <f>IFERROR(H701/G701,0)</f>
        <v>1.5395588073529414</v>
      </c>
      <c r="O701" s="11">
        <f>IFERROR(H701/I701,0)</f>
        <v>52.344999450000003</v>
      </c>
      <c r="P701" s="11">
        <f>IFERROR((J701-H701)/H701,0)</f>
        <v>0.62384183576488694</v>
      </c>
    </row>
    <row r="702" spans="1:16">
      <c r="A702">
        <v>1122227</v>
      </c>
      <c r="B702" t="s">
        <v>162</v>
      </c>
      <c r="C702" t="s">
        <v>4</v>
      </c>
      <c r="D702" t="s">
        <v>5</v>
      </c>
      <c r="E702" s="14">
        <v>21</v>
      </c>
      <c r="F702" s="14">
        <v>183293</v>
      </c>
      <c r="G702" s="14">
        <v>53</v>
      </c>
      <c r="H702" s="13">
        <v>73.749999639999999</v>
      </c>
      <c r="I702" s="14">
        <v>2</v>
      </c>
      <c r="J702" s="11">
        <f>I702*85</f>
        <v>170</v>
      </c>
      <c r="K702" s="11">
        <f>J702-H702</f>
        <v>96.250000360000001</v>
      </c>
      <c r="L702" s="10">
        <f>G702/F702</f>
        <v>2.8915452308598801E-4</v>
      </c>
      <c r="M702" s="14">
        <f>IFERROR(ROUND(I702/G702,2),0)</f>
        <v>0.04</v>
      </c>
      <c r="N702" s="11">
        <f>IFERROR(H702/G702,0)</f>
        <v>1.3915094271698112</v>
      </c>
      <c r="O702" s="11">
        <f>IFERROR(H702/I702,0)</f>
        <v>36.874999819999999</v>
      </c>
      <c r="P702" s="11">
        <f>IFERROR((J702-H702)/H702,0)</f>
        <v>1.3050847570146511</v>
      </c>
    </row>
    <row r="703" spans="1:16">
      <c r="A703">
        <v>1122260</v>
      </c>
      <c r="B703" t="s">
        <v>162</v>
      </c>
      <c r="C703" t="s">
        <v>4</v>
      </c>
      <c r="D703" t="s">
        <v>5</v>
      </c>
      <c r="E703" s="14">
        <v>26</v>
      </c>
      <c r="F703" s="14">
        <v>536248</v>
      </c>
      <c r="G703" s="14">
        <v>146</v>
      </c>
      <c r="H703" s="13">
        <v>187.7399978</v>
      </c>
      <c r="I703" s="14">
        <v>2</v>
      </c>
      <c r="J703" s="11">
        <f>I703*85</f>
        <v>170</v>
      </c>
      <c r="K703" s="11">
        <f>J703-H703</f>
        <v>-17.739997799999998</v>
      </c>
      <c r="L703" s="10">
        <f>G703/F703</f>
        <v>2.7226208769076996E-4</v>
      </c>
      <c r="M703" s="14">
        <f>IFERROR(ROUND(I703/G703,2),0)</f>
        <v>0.01</v>
      </c>
      <c r="N703" s="11">
        <f>IFERROR(H703/G703,0)</f>
        <v>1.2858903958904109</v>
      </c>
      <c r="O703" s="11">
        <f>IFERROR(H703/I703,0)</f>
        <v>93.869998899999999</v>
      </c>
      <c r="P703" s="11">
        <f>IFERROR((J703-H703)/H703,0)</f>
        <v>-9.4492372471946404E-2</v>
      </c>
    </row>
    <row r="704" spans="1:16">
      <c r="A704">
        <v>1122270</v>
      </c>
      <c r="B704" t="s">
        <v>162</v>
      </c>
      <c r="C704" t="s">
        <v>4</v>
      </c>
      <c r="D704" t="s">
        <v>5</v>
      </c>
      <c r="E704" s="14">
        <v>28</v>
      </c>
      <c r="F704" s="14">
        <v>73222</v>
      </c>
      <c r="G704" s="14">
        <v>16</v>
      </c>
      <c r="H704" s="13">
        <v>22.860000249999999</v>
      </c>
      <c r="I704" s="14">
        <v>2</v>
      </c>
      <c r="J704" s="11">
        <f>I704*85</f>
        <v>170</v>
      </c>
      <c r="K704" s="11">
        <f>J704-H704</f>
        <v>147.13999975000002</v>
      </c>
      <c r="L704" s="10">
        <f>G704/F704</f>
        <v>2.1851356149791046E-4</v>
      </c>
      <c r="M704" s="14">
        <f>IFERROR(ROUND(I704/G704,2),0)</f>
        <v>0.13</v>
      </c>
      <c r="N704" s="11">
        <f>IFERROR(H704/G704,0)</f>
        <v>1.4287500156249999</v>
      </c>
      <c r="O704" s="11">
        <f>IFERROR(H704/I704,0)</f>
        <v>11.430000124999999</v>
      </c>
      <c r="P704" s="11">
        <f>IFERROR((J704-H704)/H704,0)</f>
        <v>6.4365703473690914</v>
      </c>
    </row>
    <row r="705" spans="1:16">
      <c r="A705">
        <v>1122282</v>
      </c>
      <c r="B705" t="s">
        <v>162</v>
      </c>
      <c r="C705" t="s">
        <v>4</v>
      </c>
      <c r="D705" t="s">
        <v>5</v>
      </c>
      <c r="E705" s="14">
        <v>30</v>
      </c>
      <c r="F705" s="14">
        <v>22859</v>
      </c>
      <c r="G705" s="14">
        <v>6</v>
      </c>
      <c r="H705" s="13">
        <v>9.4199998380000007</v>
      </c>
      <c r="I705" s="14">
        <v>2</v>
      </c>
      <c r="J705" s="11">
        <f>I705*85</f>
        <v>170</v>
      </c>
      <c r="K705" s="11">
        <f>J705-H705</f>
        <v>160.580000162</v>
      </c>
      <c r="L705" s="10">
        <f>G705/F705</f>
        <v>2.6247867360776935E-4</v>
      </c>
      <c r="M705" s="14">
        <f>IFERROR(ROUND(I705/G705,2),0)</f>
        <v>0.33</v>
      </c>
      <c r="N705" s="11">
        <f>IFERROR(H705/G705,0)</f>
        <v>1.569999973</v>
      </c>
      <c r="O705" s="11">
        <f>IFERROR(H705/I705,0)</f>
        <v>4.7099999190000004</v>
      </c>
      <c r="P705" s="11">
        <f>IFERROR((J705-H705)/H705,0)</f>
        <v>17.046709439869101</v>
      </c>
    </row>
    <row r="706" spans="1:16">
      <c r="A706">
        <v>1122311</v>
      </c>
      <c r="B706" t="s">
        <v>162</v>
      </c>
      <c r="C706" t="s">
        <v>4</v>
      </c>
      <c r="D706" t="s">
        <v>5</v>
      </c>
      <c r="E706" s="14">
        <v>64</v>
      </c>
      <c r="F706" s="14">
        <v>179894</v>
      </c>
      <c r="G706" s="14">
        <v>43</v>
      </c>
      <c r="H706" s="13">
        <v>66.839998719999997</v>
      </c>
      <c r="I706" s="14">
        <v>2</v>
      </c>
      <c r="J706" s="11">
        <f>I706*85</f>
        <v>170</v>
      </c>
      <c r="K706" s="11">
        <f>J706-H706</f>
        <v>103.16000128</v>
      </c>
      <c r="L706" s="10">
        <f>G706/F706</f>
        <v>2.3902965079435667E-4</v>
      </c>
      <c r="M706" s="14">
        <f>IFERROR(ROUND(I706/G706,2),0)</f>
        <v>0.05</v>
      </c>
      <c r="N706" s="11">
        <f>IFERROR(H706/G706,0)</f>
        <v>1.5544185748837209</v>
      </c>
      <c r="O706" s="11">
        <f>IFERROR(H706/I706,0)</f>
        <v>33.419999359999998</v>
      </c>
      <c r="P706" s="11">
        <f>IFERROR((J706-H706)/H706,0)</f>
        <v>1.5433872420038253</v>
      </c>
    </row>
    <row r="707" spans="1:16">
      <c r="A707">
        <v>1314388</v>
      </c>
      <c r="B707" t="s">
        <v>162</v>
      </c>
      <c r="C707" t="s">
        <v>3</v>
      </c>
      <c r="D707" t="s">
        <v>5</v>
      </c>
      <c r="E707" s="14">
        <v>102</v>
      </c>
      <c r="F707" s="14">
        <v>329333</v>
      </c>
      <c r="G707" s="14">
        <v>48</v>
      </c>
      <c r="H707" s="13">
        <v>67.609999180000003</v>
      </c>
      <c r="I707" s="14">
        <v>2</v>
      </c>
      <c r="J707" s="11">
        <f>I707*85</f>
        <v>170</v>
      </c>
      <c r="K707" s="11">
        <f>J707-H707</f>
        <v>102.39000082</v>
      </c>
      <c r="L707" s="10">
        <f>G707/F707</f>
        <v>1.4574913537361881E-4</v>
      </c>
      <c r="M707" s="14">
        <f>IFERROR(ROUND(I707/G707,2),0)</f>
        <v>0.04</v>
      </c>
      <c r="N707" s="11">
        <f>IFERROR(H707/G707,0)</f>
        <v>1.4085416495833334</v>
      </c>
      <c r="O707" s="11">
        <f>IFERROR(H707/I707,0)</f>
        <v>33.804999590000001</v>
      </c>
      <c r="P707" s="11">
        <f>IFERROR((J707-H707)/H707,0)</f>
        <v>1.5144209741432508</v>
      </c>
    </row>
    <row r="708" spans="1:16">
      <c r="A708">
        <v>1314411</v>
      </c>
      <c r="B708" t="s">
        <v>162</v>
      </c>
      <c r="C708" t="s">
        <v>4</v>
      </c>
      <c r="D708" t="s">
        <v>5</v>
      </c>
      <c r="E708" s="14">
        <v>110</v>
      </c>
      <c r="F708" s="14">
        <v>637549</v>
      </c>
      <c r="G708" s="14">
        <v>120</v>
      </c>
      <c r="H708" s="13">
        <v>173.88000349999999</v>
      </c>
      <c r="I708" s="14">
        <v>2</v>
      </c>
      <c r="J708" s="11">
        <f>I708*85</f>
        <v>170</v>
      </c>
      <c r="K708" s="11">
        <f>J708-H708</f>
        <v>-3.8800034999999866</v>
      </c>
      <c r="L708" s="10">
        <f>G708/F708</f>
        <v>1.882208269482032E-4</v>
      </c>
      <c r="M708" s="14">
        <f>IFERROR(ROUND(I708/G708,2),0)</f>
        <v>0.02</v>
      </c>
      <c r="N708" s="11">
        <f>IFERROR(H708/G708,0)</f>
        <v>1.4490000291666665</v>
      </c>
      <c r="O708" s="11">
        <f>IFERROR(H708/I708,0)</f>
        <v>86.940001749999993</v>
      </c>
      <c r="P708" s="11">
        <f>IFERROR((J708-H708)/H708,0)</f>
        <v>-2.2314259385208646E-2</v>
      </c>
    </row>
    <row r="709" spans="1:16">
      <c r="A709">
        <v>708815</v>
      </c>
      <c r="B709" t="s">
        <v>160</v>
      </c>
      <c r="C709" t="s">
        <v>0</v>
      </c>
      <c r="D709" t="s">
        <v>1</v>
      </c>
      <c r="E709" s="14">
        <v>28</v>
      </c>
      <c r="F709" s="14">
        <v>4259</v>
      </c>
      <c r="G709" s="14">
        <v>1</v>
      </c>
      <c r="H709" s="13">
        <v>1.25</v>
      </c>
      <c r="I709" s="14">
        <v>1</v>
      </c>
      <c r="J709" s="11">
        <f>I709*85</f>
        <v>85</v>
      </c>
      <c r="K709" s="11">
        <f>J709-H709</f>
        <v>83.75</v>
      </c>
      <c r="L709" s="10">
        <f>G709/F709</f>
        <v>2.3479690068091102E-4</v>
      </c>
      <c r="M709" s="14">
        <f>IFERROR(ROUND(I709/G709,2),0)</f>
        <v>1</v>
      </c>
      <c r="N709" s="11">
        <f>IFERROR(H709/G709,0)</f>
        <v>1.25</v>
      </c>
      <c r="O709" s="11">
        <f>IFERROR(H709/I709,0)</f>
        <v>1.25</v>
      </c>
      <c r="P709" s="11">
        <f>IFERROR((J709-H709)/H709,0)</f>
        <v>67</v>
      </c>
    </row>
    <row r="710" spans="1:16">
      <c r="A710">
        <v>708889</v>
      </c>
      <c r="B710" t="s">
        <v>160</v>
      </c>
      <c r="C710" t="s">
        <v>0</v>
      </c>
      <c r="D710" t="s">
        <v>1</v>
      </c>
      <c r="E710" s="14">
        <v>15</v>
      </c>
      <c r="F710" s="14">
        <v>15615</v>
      </c>
      <c r="G710" s="14">
        <v>3</v>
      </c>
      <c r="H710" s="13">
        <v>4.7699999809999998</v>
      </c>
      <c r="I710" s="14">
        <v>1</v>
      </c>
      <c r="J710" s="11">
        <f>I710*85</f>
        <v>85</v>
      </c>
      <c r="K710" s="11">
        <f>J710-H710</f>
        <v>80.230000019000002</v>
      </c>
      <c r="L710" s="10">
        <f>G710/F710</f>
        <v>1.9212295869356388E-4</v>
      </c>
      <c r="M710" s="14">
        <f>IFERROR(ROUND(I710/G710,2),0)</f>
        <v>0.33</v>
      </c>
      <c r="N710" s="11">
        <f>IFERROR(H710/G710,0)</f>
        <v>1.5899999936666667</v>
      </c>
      <c r="O710" s="11">
        <f>IFERROR(H710/I710,0)</f>
        <v>4.7699999809999998</v>
      </c>
      <c r="P710" s="11">
        <f>IFERROR((J710-H710)/H710,0)</f>
        <v>16.819706569931746</v>
      </c>
    </row>
    <row r="711" spans="1:16">
      <c r="A711">
        <v>708953</v>
      </c>
      <c r="B711" t="s">
        <v>160</v>
      </c>
      <c r="C711" t="s">
        <v>0</v>
      </c>
      <c r="D711" t="s">
        <v>1</v>
      </c>
      <c r="E711" s="14">
        <v>27</v>
      </c>
      <c r="F711" s="14">
        <v>2355</v>
      </c>
      <c r="G711" s="14">
        <v>1</v>
      </c>
      <c r="H711" s="13">
        <v>1.5</v>
      </c>
      <c r="I711" s="14">
        <v>1</v>
      </c>
      <c r="J711" s="11">
        <f>I711*85</f>
        <v>85</v>
      </c>
      <c r="K711" s="11">
        <f>J711-H711</f>
        <v>83.5</v>
      </c>
      <c r="L711" s="10">
        <f>G711/F711</f>
        <v>4.2462845010615713E-4</v>
      </c>
      <c r="M711" s="14">
        <f>IFERROR(ROUND(I711/G711,2),0)</f>
        <v>1</v>
      </c>
      <c r="N711" s="11">
        <f>IFERROR(H711/G711,0)</f>
        <v>1.5</v>
      </c>
      <c r="O711" s="11">
        <f>IFERROR(H711/I711,0)</f>
        <v>1.5</v>
      </c>
      <c r="P711" s="11">
        <f>IFERROR((J711-H711)/H711,0)</f>
        <v>55.666666666666664</v>
      </c>
    </row>
    <row r="712" spans="1:16">
      <c r="A712">
        <v>708958</v>
      </c>
      <c r="B712" t="s">
        <v>160</v>
      </c>
      <c r="C712" t="s">
        <v>0</v>
      </c>
      <c r="D712" t="s">
        <v>1</v>
      </c>
      <c r="E712" s="14">
        <v>28</v>
      </c>
      <c r="F712" s="14">
        <v>9502</v>
      </c>
      <c r="G712" s="14">
        <v>3</v>
      </c>
      <c r="H712" s="13">
        <v>3.1599999670000001</v>
      </c>
      <c r="I712" s="14">
        <v>1</v>
      </c>
      <c r="J712" s="11">
        <f>I712*85</f>
        <v>85</v>
      </c>
      <c r="K712" s="11">
        <f>J712-H712</f>
        <v>81.840000032999995</v>
      </c>
      <c r="L712" s="10">
        <f>G712/F712</f>
        <v>3.1572300568301408E-4</v>
      </c>
      <c r="M712" s="14">
        <f>IFERROR(ROUND(I712/G712,2),0)</f>
        <v>0.33</v>
      </c>
      <c r="N712" s="11">
        <f>IFERROR(H712/G712,0)</f>
        <v>1.0533333223333334</v>
      </c>
      <c r="O712" s="11">
        <f>IFERROR(H712/I712,0)</f>
        <v>3.1599999670000001</v>
      </c>
      <c r="P712" s="11">
        <f>IFERROR((J712-H712)/H712,0)</f>
        <v>25.898734458119694</v>
      </c>
    </row>
    <row r="713" spans="1:16">
      <c r="A713">
        <v>709115</v>
      </c>
      <c r="B713" t="s">
        <v>160</v>
      </c>
      <c r="C713" t="s">
        <v>0</v>
      </c>
      <c r="D713" t="s">
        <v>1</v>
      </c>
      <c r="E713" s="14">
        <v>30</v>
      </c>
      <c r="F713" s="14">
        <v>2305</v>
      </c>
      <c r="G713" s="14">
        <v>1</v>
      </c>
      <c r="H713" s="13">
        <v>0.56999999300000004</v>
      </c>
      <c r="I713" s="14">
        <v>1</v>
      </c>
      <c r="J713" s="11">
        <f>I713*85</f>
        <v>85</v>
      </c>
      <c r="K713" s="11">
        <f>J713-H713</f>
        <v>84.430000007000004</v>
      </c>
      <c r="L713" s="10">
        <f>G713/F713</f>
        <v>4.3383947939262471E-4</v>
      </c>
      <c r="M713" s="14">
        <f>IFERROR(ROUND(I713/G713,2),0)</f>
        <v>1</v>
      </c>
      <c r="N713" s="11">
        <f>IFERROR(H713/G713,0)</f>
        <v>0.56999999300000004</v>
      </c>
      <c r="O713" s="11">
        <f>IFERROR(H713/I713,0)</f>
        <v>0.56999999300000004</v>
      </c>
      <c r="P713" s="11">
        <f>IFERROR((J713-H713)/H713,0)</f>
        <v>148.12280884887659</v>
      </c>
    </row>
    <row r="714" spans="1:16">
      <c r="A714">
        <v>709179</v>
      </c>
      <c r="B714" t="s">
        <v>160</v>
      </c>
      <c r="C714" t="s">
        <v>2</v>
      </c>
      <c r="D714" t="s">
        <v>1</v>
      </c>
      <c r="E714" s="14">
        <v>15</v>
      </c>
      <c r="F714" s="14">
        <v>4627</v>
      </c>
      <c r="G714" s="14">
        <v>1</v>
      </c>
      <c r="H714" s="13">
        <v>1.690000057</v>
      </c>
      <c r="I714" s="14">
        <v>1</v>
      </c>
      <c r="J714" s="11">
        <f>I714*85</f>
        <v>85</v>
      </c>
      <c r="K714" s="11">
        <f>J714-H714</f>
        <v>83.309999942999994</v>
      </c>
      <c r="L714" s="10">
        <f>G714/F714</f>
        <v>2.1612275772638859E-4</v>
      </c>
      <c r="M714" s="14">
        <f>IFERROR(ROUND(I714/G714,2),0)</f>
        <v>1</v>
      </c>
      <c r="N714" s="11">
        <f>IFERROR(H714/G714,0)</f>
        <v>1.690000057</v>
      </c>
      <c r="O714" s="11">
        <f>IFERROR(H714/I714,0)</f>
        <v>1.690000057</v>
      </c>
      <c r="P714" s="11">
        <f>IFERROR((J714-H714)/H714,0)</f>
        <v>49.295856291796561</v>
      </c>
    </row>
    <row r="715" spans="1:16">
      <c r="A715">
        <v>709323</v>
      </c>
      <c r="B715" t="s">
        <v>160</v>
      </c>
      <c r="C715" t="s">
        <v>2</v>
      </c>
      <c r="D715" t="s">
        <v>1</v>
      </c>
      <c r="E715" s="14">
        <v>15</v>
      </c>
      <c r="F715" s="14">
        <v>7132</v>
      </c>
      <c r="G715" s="14">
        <v>2</v>
      </c>
      <c r="H715" s="13">
        <v>2.6099998950000001</v>
      </c>
      <c r="I715" s="14">
        <v>1</v>
      </c>
      <c r="J715" s="11">
        <f>I715*85</f>
        <v>85</v>
      </c>
      <c r="K715" s="11">
        <f>J715-H715</f>
        <v>82.390000104999999</v>
      </c>
      <c r="L715" s="10">
        <f>G715/F715</f>
        <v>2.8042624789680314E-4</v>
      </c>
      <c r="M715" s="14">
        <f>IFERROR(ROUND(I715/G715,2),0)</f>
        <v>0.5</v>
      </c>
      <c r="N715" s="11">
        <f>IFERROR(H715/G715,0)</f>
        <v>1.3049999475</v>
      </c>
      <c r="O715" s="11">
        <f>IFERROR(H715/I715,0)</f>
        <v>2.6099998950000001</v>
      </c>
      <c r="P715" s="11">
        <f>IFERROR((J715-H715)/H715,0)</f>
        <v>31.567051118597842</v>
      </c>
    </row>
    <row r="716" spans="1:16">
      <c r="A716">
        <v>709326</v>
      </c>
      <c r="B716" t="s">
        <v>160</v>
      </c>
      <c r="C716" t="s">
        <v>2</v>
      </c>
      <c r="D716" t="s">
        <v>1</v>
      </c>
      <c r="E716" s="14">
        <v>16</v>
      </c>
      <c r="F716" s="14">
        <v>12190</v>
      </c>
      <c r="G716" s="14">
        <v>2</v>
      </c>
      <c r="H716" s="13">
        <v>3.0499999519999998</v>
      </c>
      <c r="I716" s="14">
        <v>1</v>
      </c>
      <c r="J716" s="11">
        <f>I716*85</f>
        <v>85</v>
      </c>
      <c r="K716" s="11">
        <f>J716-H716</f>
        <v>81.950000048000007</v>
      </c>
      <c r="L716" s="10">
        <f>G716/F716</f>
        <v>1.6406890894175554E-4</v>
      </c>
      <c r="M716" s="14">
        <f>IFERROR(ROUND(I716/G716,2),0)</f>
        <v>0.5</v>
      </c>
      <c r="N716" s="11">
        <f>IFERROR(H716/G716,0)</f>
        <v>1.5249999759999999</v>
      </c>
      <c r="O716" s="11">
        <f>IFERROR(H716/I716,0)</f>
        <v>3.0499999519999998</v>
      </c>
      <c r="P716" s="11">
        <f>IFERROR((J716-H716)/H716,0)</f>
        <v>26.868852897608182</v>
      </c>
    </row>
    <row r="717" spans="1:16">
      <c r="A717">
        <v>709614</v>
      </c>
      <c r="B717" t="s">
        <v>160</v>
      </c>
      <c r="C717" t="s">
        <v>3</v>
      </c>
      <c r="D717" t="s">
        <v>1</v>
      </c>
      <c r="E717" s="14">
        <v>16</v>
      </c>
      <c r="F717" s="14">
        <v>19113</v>
      </c>
      <c r="G717" s="14">
        <v>4</v>
      </c>
      <c r="H717" s="13">
        <v>5.5200000999999999</v>
      </c>
      <c r="I717" s="14">
        <v>1</v>
      </c>
      <c r="J717" s="11">
        <f>I717*85</f>
        <v>85</v>
      </c>
      <c r="K717" s="11">
        <f>J717-H717</f>
        <v>79.479999899999996</v>
      </c>
      <c r="L717" s="10">
        <f>G717/F717</f>
        <v>2.0928164076806363E-4</v>
      </c>
      <c r="M717" s="14">
        <f>IFERROR(ROUND(I717/G717,2),0)</f>
        <v>0.25</v>
      </c>
      <c r="N717" s="11">
        <f>IFERROR(H717/G717,0)</f>
        <v>1.380000025</v>
      </c>
      <c r="O717" s="11">
        <f>IFERROR(H717/I717,0)</f>
        <v>5.5200000999999999</v>
      </c>
      <c r="P717" s="11">
        <f>IFERROR((J717-H717)/H717,0)</f>
        <v>14.398550445678433</v>
      </c>
    </row>
    <row r="718" spans="1:16">
      <c r="A718">
        <v>710045</v>
      </c>
      <c r="B718" t="s">
        <v>160</v>
      </c>
      <c r="C718" t="s">
        <v>4</v>
      </c>
      <c r="D718" t="s">
        <v>1</v>
      </c>
      <c r="E718" s="14">
        <v>16</v>
      </c>
      <c r="F718" s="14">
        <v>47224</v>
      </c>
      <c r="G718" s="14">
        <v>12</v>
      </c>
      <c r="H718" s="13">
        <v>15.82000017</v>
      </c>
      <c r="I718" s="14">
        <v>1</v>
      </c>
      <c r="J718" s="11">
        <f>I718*85</f>
        <v>85</v>
      </c>
      <c r="K718" s="11">
        <f>J718-H718</f>
        <v>69.17999983</v>
      </c>
      <c r="L718" s="10">
        <f>G718/F718</f>
        <v>2.5410808063696424E-4</v>
      </c>
      <c r="M718" s="14">
        <f>IFERROR(ROUND(I718/G718,2),0)</f>
        <v>0.08</v>
      </c>
      <c r="N718" s="11">
        <f>IFERROR(H718/G718,0)</f>
        <v>1.3183333475000001</v>
      </c>
      <c r="O718" s="11">
        <f>IFERROR(H718/I718,0)</f>
        <v>15.82000017</v>
      </c>
      <c r="P718" s="11">
        <f>IFERROR((J718-H718)/H718,0)</f>
        <v>4.3729455806952746</v>
      </c>
    </row>
    <row r="719" spans="1:16">
      <c r="A719">
        <v>710088</v>
      </c>
      <c r="B719" t="s">
        <v>160</v>
      </c>
      <c r="C719" t="s">
        <v>4</v>
      </c>
      <c r="D719" t="s">
        <v>1</v>
      </c>
      <c r="E719" s="14">
        <v>24</v>
      </c>
      <c r="F719" s="14">
        <v>2283</v>
      </c>
      <c r="G719" s="14">
        <v>1</v>
      </c>
      <c r="H719" s="13">
        <v>1.4700000289999999</v>
      </c>
      <c r="I719" s="14">
        <v>1</v>
      </c>
      <c r="J719" s="11">
        <f>I719*85</f>
        <v>85</v>
      </c>
      <c r="K719" s="11">
        <f>J719-H719</f>
        <v>83.529999970999995</v>
      </c>
      <c r="L719" s="10">
        <f>G719/F719</f>
        <v>4.3802014892685063E-4</v>
      </c>
      <c r="M719" s="14">
        <f>IFERROR(ROUND(I719/G719,2),0)</f>
        <v>1</v>
      </c>
      <c r="N719" s="11">
        <f>IFERROR(H719/G719,0)</f>
        <v>1.4700000289999999</v>
      </c>
      <c r="O719" s="11">
        <f>IFERROR(H719/I719,0)</f>
        <v>1.4700000289999999</v>
      </c>
      <c r="P719" s="11">
        <f>IFERROR((J719-H719)/H719,0)</f>
        <v>56.823128110972299</v>
      </c>
    </row>
    <row r="720" spans="1:16">
      <c r="A720">
        <v>710617</v>
      </c>
      <c r="B720" t="s">
        <v>160</v>
      </c>
      <c r="C720" t="s">
        <v>0</v>
      </c>
      <c r="D720" t="s">
        <v>5</v>
      </c>
      <c r="E720" s="14">
        <v>15</v>
      </c>
      <c r="F720" s="14">
        <v>5014</v>
      </c>
      <c r="G720" s="14">
        <v>1</v>
      </c>
      <c r="H720" s="13">
        <v>1.190000057</v>
      </c>
      <c r="I720" s="14">
        <v>1</v>
      </c>
      <c r="J720" s="11">
        <f>I720*85</f>
        <v>85</v>
      </c>
      <c r="K720" s="11">
        <f>J720-H720</f>
        <v>83.809999942999994</v>
      </c>
      <c r="L720" s="10">
        <f>G720/F720</f>
        <v>1.9944156362185878E-4</v>
      </c>
      <c r="M720" s="14">
        <f>IFERROR(ROUND(I720/G720,2),0)</f>
        <v>1</v>
      </c>
      <c r="N720" s="11">
        <f>IFERROR(H720/G720,0)</f>
        <v>1.190000057</v>
      </c>
      <c r="O720" s="11">
        <f>IFERROR(H720/I720,0)</f>
        <v>1.190000057</v>
      </c>
      <c r="P720" s="11">
        <f>IFERROR((J720-H720)/H720,0)</f>
        <v>70.42856800720304</v>
      </c>
    </row>
    <row r="721" spans="1:16">
      <c r="A721">
        <v>710623</v>
      </c>
      <c r="B721" t="s">
        <v>160</v>
      </c>
      <c r="C721" t="s">
        <v>0</v>
      </c>
      <c r="D721" t="s">
        <v>5</v>
      </c>
      <c r="E721" s="14">
        <v>16</v>
      </c>
      <c r="F721" s="14">
        <v>38726</v>
      </c>
      <c r="G721" s="14">
        <v>7</v>
      </c>
      <c r="H721" s="13">
        <v>9.2200002669999996</v>
      </c>
      <c r="I721" s="14">
        <v>1</v>
      </c>
      <c r="J721" s="11">
        <f>I721*85</f>
        <v>85</v>
      </c>
      <c r="K721" s="11">
        <f>J721-H721</f>
        <v>75.779999732999997</v>
      </c>
      <c r="L721" s="10">
        <f>G721/F721</f>
        <v>1.8075711408356142E-4</v>
      </c>
      <c r="M721" s="14">
        <f>IFERROR(ROUND(I721/G721,2),0)</f>
        <v>0.14000000000000001</v>
      </c>
      <c r="N721" s="11">
        <f>IFERROR(H721/G721,0)</f>
        <v>1.3171428952857143</v>
      </c>
      <c r="O721" s="11">
        <f>IFERROR(H721/I721,0)</f>
        <v>9.2200002669999996</v>
      </c>
      <c r="P721" s="11">
        <f>IFERROR((J721-H721)/H721,0)</f>
        <v>8.2190886701196657</v>
      </c>
    </row>
    <row r="722" spans="1:16">
      <c r="A722">
        <v>710763</v>
      </c>
      <c r="B722" t="s">
        <v>160</v>
      </c>
      <c r="C722" t="s">
        <v>0</v>
      </c>
      <c r="D722" t="s">
        <v>5</v>
      </c>
      <c r="E722" s="14">
        <v>15</v>
      </c>
      <c r="F722" s="14">
        <v>5369</v>
      </c>
      <c r="G722" s="14">
        <v>1</v>
      </c>
      <c r="H722" s="13">
        <v>1.5099999900000001</v>
      </c>
      <c r="I722" s="14">
        <v>1</v>
      </c>
      <c r="J722" s="11">
        <f>I722*85</f>
        <v>85</v>
      </c>
      <c r="K722" s="11">
        <f>J722-H722</f>
        <v>83.490000010000003</v>
      </c>
      <c r="L722" s="10">
        <f>G722/F722</f>
        <v>1.8625442354255913E-4</v>
      </c>
      <c r="M722" s="14">
        <f>IFERROR(ROUND(I722/G722,2),0)</f>
        <v>1</v>
      </c>
      <c r="N722" s="11">
        <f>IFERROR(H722/G722,0)</f>
        <v>1.5099999900000001</v>
      </c>
      <c r="O722" s="11">
        <f>IFERROR(H722/I722,0)</f>
        <v>1.5099999900000001</v>
      </c>
      <c r="P722" s="11">
        <f>IFERROR((J722-H722)/H722,0)</f>
        <v>55.291391101267493</v>
      </c>
    </row>
    <row r="723" spans="1:16">
      <c r="A723">
        <v>710880</v>
      </c>
      <c r="B723" t="s">
        <v>160</v>
      </c>
      <c r="C723" t="s">
        <v>0</v>
      </c>
      <c r="D723" t="s">
        <v>5</v>
      </c>
      <c r="E723" s="14">
        <v>65</v>
      </c>
      <c r="F723" s="14">
        <v>13019</v>
      </c>
      <c r="G723" s="14">
        <v>5</v>
      </c>
      <c r="H723" s="13">
        <v>6.9600000380000004</v>
      </c>
      <c r="I723" s="14">
        <v>1</v>
      </c>
      <c r="J723" s="11">
        <f>I723*85</f>
        <v>85</v>
      </c>
      <c r="K723" s="11">
        <f>J723-H723</f>
        <v>78.039999961999996</v>
      </c>
      <c r="L723" s="10">
        <f>G723/F723</f>
        <v>3.8405407481373376E-4</v>
      </c>
      <c r="M723" s="14">
        <f>IFERROR(ROUND(I723/G723,2),0)</f>
        <v>0.2</v>
      </c>
      <c r="N723" s="11">
        <f>IFERROR(H723/G723,0)</f>
        <v>1.3920000076000001</v>
      </c>
      <c r="O723" s="11">
        <f>IFERROR(H723/I723,0)</f>
        <v>6.9600000380000004</v>
      </c>
      <c r="P723" s="11">
        <f>IFERROR((J723-H723)/H723,0)</f>
        <v>11.212643611482692</v>
      </c>
    </row>
    <row r="724" spans="1:16">
      <c r="A724">
        <v>710961</v>
      </c>
      <c r="B724" t="s">
        <v>160</v>
      </c>
      <c r="C724" t="s">
        <v>2</v>
      </c>
      <c r="D724" t="s">
        <v>5</v>
      </c>
      <c r="E724" s="14">
        <v>25</v>
      </c>
      <c r="F724" s="14">
        <v>2508</v>
      </c>
      <c r="G724" s="14">
        <v>1</v>
      </c>
      <c r="H724" s="13">
        <v>1.2200000289999999</v>
      </c>
      <c r="I724" s="14">
        <v>1</v>
      </c>
      <c r="J724" s="11">
        <f>I724*85</f>
        <v>85</v>
      </c>
      <c r="K724" s="11">
        <f>J724-H724</f>
        <v>83.779999970999995</v>
      </c>
      <c r="L724" s="10">
        <f>G724/F724</f>
        <v>3.9872408293460925E-4</v>
      </c>
      <c r="M724" s="14">
        <f>IFERROR(ROUND(I724/G724,2),0)</f>
        <v>1</v>
      </c>
      <c r="N724" s="11">
        <f>IFERROR(H724/G724,0)</f>
        <v>1.2200000289999999</v>
      </c>
      <c r="O724" s="11">
        <f>IFERROR(H724/I724,0)</f>
        <v>1.2200000289999999</v>
      </c>
      <c r="P724" s="11">
        <f>IFERROR((J724-H724)/H724,0)</f>
        <v>68.672129491400199</v>
      </c>
    </row>
    <row r="725" spans="1:16">
      <c r="A725">
        <v>711217</v>
      </c>
      <c r="B725" t="s">
        <v>160</v>
      </c>
      <c r="C725" t="s">
        <v>2</v>
      </c>
      <c r="D725" t="s">
        <v>5</v>
      </c>
      <c r="E725" s="14">
        <v>20</v>
      </c>
      <c r="F725" s="14">
        <v>2783</v>
      </c>
      <c r="G725" s="14">
        <v>1</v>
      </c>
      <c r="H725" s="13">
        <v>1.6000000240000001</v>
      </c>
      <c r="I725" s="14">
        <v>1</v>
      </c>
      <c r="J725" s="11">
        <f>I725*85</f>
        <v>85</v>
      </c>
      <c r="K725" s="11">
        <f>J725-H725</f>
        <v>83.399999976000004</v>
      </c>
      <c r="L725" s="10">
        <f>G725/F725</f>
        <v>3.5932446999640676E-4</v>
      </c>
      <c r="M725" s="14">
        <f>IFERROR(ROUND(I725/G725,2),0)</f>
        <v>1</v>
      </c>
      <c r="N725" s="11">
        <f>IFERROR(H725/G725,0)</f>
        <v>1.6000000240000001</v>
      </c>
      <c r="O725" s="11">
        <f>IFERROR(H725/I725,0)</f>
        <v>1.6000000240000001</v>
      </c>
      <c r="P725" s="11">
        <f>IFERROR((J725-H725)/H725,0)</f>
        <v>52.124999203125014</v>
      </c>
    </row>
    <row r="726" spans="1:16">
      <c r="A726">
        <v>711877</v>
      </c>
      <c r="B726" t="s">
        <v>160</v>
      </c>
      <c r="C726" t="s">
        <v>4</v>
      </c>
      <c r="D726" t="s">
        <v>5</v>
      </c>
      <c r="E726" s="14">
        <v>63</v>
      </c>
      <c r="F726" s="14">
        <v>17572</v>
      </c>
      <c r="G726" s="14">
        <v>7</v>
      </c>
      <c r="H726" s="13">
        <v>9.3799999950000004</v>
      </c>
      <c r="I726" s="14">
        <v>1</v>
      </c>
      <c r="J726" s="11">
        <f>I726*85</f>
        <v>85</v>
      </c>
      <c r="K726" s="11">
        <f>J726-H726</f>
        <v>75.620000004999994</v>
      </c>
      <c r="L726" s="10">
        <f>G726/F726</f>
        <v>3.9836102890962894E-4</v>
      </c>
      <c r="M726" s="14">
        <f>IFERROR(ROUND(I726/G726,2),0)</f>
        <v>0.14000000000000001</v>
      </c>
      <c r="N726" s="11">
        <f>IFERROR(H726/G726,0)</f>
        <v>1.3399999992857143</v>
      </c>
      <c r="O726" s="11">
        <f>IFERROR(H726/I726,0)</f>
        <v>9.3799999950000004</v>
      </c>
      <c r="P726" s="11">
        <f>IFERROR((J726-H726)/H726,0)</f>
        <v>8.0618336935297616</v>
      </c>
    </row>
    <row r="727" spans="1:16">
      <c r="A727">
        <v>734215</v>
      </c>
      <c r="B727" t="s">
        <v>161</v>
      </c>
      <c r="C727" t="s">
        <v>0</v>
      </c>
      <c r="D727" t="s">
        <v>1</v>
      </c>
      <c r="E727" s="14">
        <v>15</v>
      </c>
      <c r="F727" s="14">
        <v>13659</v>
      </c>
      <c r="G727" s="14">
        <v>3</v>
      </c>
      <c r="H727" s="13">
        <v>3.8400000329999999</v>
      </c>
      <c r="I727" s="14">
        <v>1</v>
      </c>
      <c r="J727" s="11">
        <f>I727*85</f>
        <v>85</v>
      </c>
      <c r="K727" s="11">
        <f>J727-H727</f>
        <v>81.159999967000005</v>
      </c>
      <c r="L727" s="10">
        <f>G727/F727</f>
        <v>2.1963540522732265E-4</v>
      </c>
      <c r="M727" s="14">
        <f>IFERROR(ROUND(I727/G727,2),0)</f>
        <v>0.33</v>
      </c>
      <c r="N727" s="11">
        <f>IFERROR(H727/G727,0)</f>
        <v>1.280000011</v>
      </c>
      <c r="O727" s="11">
        <f>IFERROR(H727/I727,0)</f>
        <v>3.8400000329999999</v>
      </c>
      <c r="P727" s="11">
        <f>IFERROR((J727-H727)/H727,0)</f>
        <v>21.135416476440433</v>
      </c>
    </row>
    <row r="728" spans="1:16">
      <c r="A728">
        <v>734421</v>
      </c>
      <c r="B728" t="s">
        <v>161</v>
      </c>
      <c r="C728" t="s">
        <v>2</v>
      </c>
      <c r="D728" t="s">
        <v>1</v>
      </c>
      <c r="E728" s="14">
        <v>27</v>
      </c>
      <c r="F728" s="14">
        <v>10332</v>
      </c>
      <c r="G728" s="14">
        <v>4</v>
      </c>
      <c r="H728" s="13">
        <v>5.75</v>
      </c>
      <c r="I728" s="14">
        <v>1</v>
      </c>
      <c r="J728" s="11">
        <f>I728*85</f>
        <v>85</v>
      </c>
      <c r="K728" s="11">
        <f>J728-H728</f>
        <v>79.25</v>
      </c>
      <c r="L728" s="10">
        <f>G728/F728</f>
        <v>3.8714672861014324E-4</v>
      </c>
      <c r="M728" s="14">
        <f>IFERROR(ROUND(I728/G728,2),0)</f>
        <v>0.25</v>
      </c>
      <c r="N728" s="11">
        <f>IFERROR(H728/G728,0)</f>
        <v>1.4375</v>
      </c>
      <c r="O728" s="11">
        <f>IFERROR(H728/I728,0)</f>
        <v>5.75</v>
      </c>
      <c r="P728" s="11">
        <f>IFERROR((J728-H728)/H728,0)</f>
        <v>13.782608695652174</v>
      </c>
    </row>
    <row r="729" spans="1:16">
      <c r="A729">
        <v>734427</v>
      </c>
      <c r="B729" t="s">
        <v>161</v>
      </c>
      <c r="C729" t="s">
        <v>2</v>
      </c>
      <c r="D729" t="s">
        <v>1</v>
      </c>
      <c r="E729" s="14">
        <v>28</v>
      </c>
      <c r="F729" s="14">
        <v>8259</v>
      </c>
      <c r="G729" s="14">
        <v>3</v>
      </c>
      <c r="H729" s="13">
        <v>3.9800000190000002</v>
      </c>
      <c r="I729" s="14">
        <v>1</v>
      </c>
      <c r="J729" s="11">
        <f>I729*85</f>
        <v>85</v>
      </c>
      <c r="K729" s="11">
        <f>J729-H729</f>
        <v>81.019999980999998</v>
      </c>
      <c r="L729" s="10">
        <f>G729/F729</f>
        <v>3.6324010170722849E-4</v>
      </c>
      <c r="M729" s="14">
        <f>IFERROR(ROUND(I729/G729,2),0)</f>
        <v>0.33</v>
      </c>
      <c r="N729" s="11">
        <f>IFERROR(H729/G729,0)</f>
        <v>1.3266666730000001</v>
      </c>
      <c r="O729" s="11">
        <f>IFERROR(H729/I729,0)</f>
        <v>3.9800000190000002</v>
      </c>
      <c r="P729" s="11">
        <f>IFERROR((J729-H729)/H729,0)</f>
        <v>20.356783817643493</v>
      </c>
    </row>
    <row r="730" spans="1:16">
      <c r="A730">
        <v>734433</v>
      </c>
      <c r="B730" t="s">
        <v>161</v>
      </c>
      <c r="C730" t="s">
        <v>2</v>
      </c>
      <c r="D730" t="s">
        <v>1</v>
      </c>
      <c r="E730" s="14">
        <v>29</v>
      </c>
      <c r="F730" s="14">
        <v>12158</v>
      </c>
      <c r="G730" s="14">
        <v>3</v>
      </c>
      <c r="H730" s="13">
        <v>4.4499999280000004</v>
      </c>
      <c r="I730" s="14">
        <v>1</v>
      </c>
      <c r="J730" s="11">
        <f>I730*85</f>
        <v>85</v>
      </c>
      <c r="K730" s="11">
        <f>J730-H730</f>
        <v>80.550000072000003</v>
      </c>
      <c r="L730" s="10">
        <f>G730/F730</f>
        <v>2.4675111037999672E-4</v>
      </c>
      <c r="M730" s="14">
        <f>IFERROR(ROUND(I730/G730,2),0)</f>
        <v>0.33</v>
      </c>
      <c r="N730" s="11">
        <f>IFERROR(H730/G730,0)</f>
        <v>1.4833333093333334</v>
      </c>
      <c r="O730" s="11">
        <f>IFERROR(H730/I730,0)</f>
        <v>4.4499999280000004</v>
      </c>
      <c r="P730" s="11">
        <f>IFERROR((J730-H730)/H730,0)</f>
        <v>18.101123904557511</v>
      </c>
    </row>
    <row r="731" spans="1:16">
      <c r="A731">
        <v>734726</v>
      </c>
      <c r="B731" t="s">
        <v>161</v>
      </c>
      <c r="C731" t="s">
        <v>4</v>
      </c>
      <c r="D731" t="s">
        <v>1</v>
      </c>
      <c r="E731" s="14">
        <v>29</v>
      </c>
      <c r="F731" s="14">
        <v>10466</v>
      </c>
      <c r="G731" s="14">
        <v>3</v>
      </c>
      <c r="H731" s="13">
        <v>4.0900000329999999</v>
      </c>
      <c r="I731" s="14">
        <v>1</v>
      </c>
      <c r="J731" s="11">
        <f>I731*85</f>
        <v>85</v>
      </c>
      <c r="K731" s="11">
        <f>J731-H731</f>
        <v>80.909999967000005</v>
      </c>
      <c r="L731" s="10">
        <f>G731/F731</f>
        <v>2.866424613032677E-4</v>
      </c>
      <c r="M731" s="14">
        <f>IFERROR(ROUND(I731/G731,2),0)</f>
        <v>0.33</v>
      </c>
      <c r="N731" s="11">
        <f>IFERROR(H731/G731,0)</f>
        <v>1.3633333443333333</v>
      </c>
      <c r="O731" s="11">
        <f>IFERROR(H731/I731,0)</f>
        <v>4.0900000329999999</v>
      </c>
      <c r="P731" s="11">
        <f>IFERROR((J731-H731)/H731,0)</f>
        <v>19.782395920337638</v>
      </c>
    </row>
    <row r="732" spans="1:16">
      <c r="A732">
        <v>734852</v>
      </c>
      <c r="B732" t="s">
        <v>161</v>
      </c>
      <c r="C732" t="s">
        <v>0</v>
      </c>
      <c r="D732" t="s">
        <v>5</v>
      </c>
      <c r="E732" s="14">
        <v>26</v>
      </c>
      <c r="F732" s="14">
        <v>13479</v>
      </c>
      <c r="G732" s="14">
        <v>3</v>
      </c>
      <c r="H732" s="13">
        <v>4.25</v>
      </c>
      <c r="I732" s="14">
        <v>1</v>
      </c>
      <c r="J732" s="11">
        <f>I732*85</f>
        <v>85</v>
      </c>
      <c r="K732" s="11">
        <f>J732-H732</f>
        <v>80.75</v>
      </c>
      <c r="L732" s="10">
        <f>G732/F732</f>
        <v>2.2256843979523704E-4</v>
      </c>
      <c r="M732" s="14">
        <f>IFERROR(ROUND(I732/G732,2),0)</f>
        <v>0.33</v>
      </c>
      <c r="N732" s="11">
        <f>IFERROR(H732/G732,0)</f>
        <v>1.4166666666666667</v>
      </c>
      <c r="O732" s="11">
        <f>IFERROR(H732/I732,0)</f>
        <v>4.25</v>
      </c>
      <c r="P732" s="11">
        <f>IFERROR((J732-H732)/H732,0)</f>
        <v>19</v>
      </c>
    </row>
    <row r="733" spans="1:16">
      <c r="A733">
        <v>734866</v>
      </c>
      <c r="B733" t="s">
        <v>161</v>
      </c>
      <c r="C733" t="s">
        <v>0</v>
      </c>
      <c r="D733" t="s">
        <v>5</v>
      </c>
      <c r="E733" s="14">
        <v>29</v>
      </c>
      <c r="F733" s="14">
        <v>11803</v>
      </c>
      <c r="G733" s="14">
        <v>3</v>
      </c>
      <c r="H733" s="13">
        <v>4.4400000569999998</v>
      </c>
      <c r="I733" s="14">
        <v>1</v>
      </c>
      <c r="J733" s="11">
        <f>I733*85</f>
        <v>85</v>
      </c>
      <c r="K733" s="11">
        <f>J733-H733</f>
        <v>80.559999942999994</v>
      </c>
      <c r="L733" s="10">
        <f>G733/F733</f>
        <v>2.5417266796577139E-4</v>
      </c>
      <c r="M733" s="14">
        <f>IFERROR(ROUND(I733/G733,2),0)</f>
        <v>0.33</v>
      </c>
      <c r="N733" s="11">
        <f>IFERROR(H733/G733,0)</f>
        <v>1.480000019</v>
      </c>
      <c r="O733" s="11">
        <f>IFERROR(H733/I733,0)</f>
        <v>4.4400000569999998</v>
      </c>
      <c r="P733" s="11">
        <f>IFERROR((J733-H733)/H733,0)</f>
        <v>18.144143898374729</v>
      </c>
    </row>
    <row r="734" spans="1:16">
      <c r="A734">
        <v>734999</v>
      </c>
      <c r="B734" t="s">
        <v>161</v>
      </c>
      <c r="C734" t="s">
        <v>2</v>
      </c>
      <c r="D734" t="s">
        <v>5</v>
      </c>
      <c r="E734" s="14">
        <v>27</v>
      </c>
      <c r="F734" s="14">
        <v>20277</v>
      </c>
      <c r="G734" s="14">
        <v>6</v>
      </c>
      <c r="H734" s="13">
        <v>8.0500000719999996</v>
      </c>
      <c r="I734" s="14">
        <v>1</v>
      </c>
      <c r="J734" s="11">
        <f>I734*85</f>
        <v>85</v>
      </c>
      <c r="K734" s="11">
        <f>J734-H734</f>
        <v>76.949999927999997</v>
      </c>
      <c r="L734" s="10">
        <f>G734/F734</f>
        <v>2.9590176061547566E-4</v>
      </c>
      <c r="M734" s="14">
        <f>IFERROR(ROUND(I734/G734,2),0)</f>
        <v>0.17</v>
      </c>
      <c r="N734" s="11">
        <f>IFERROR(H734/G734,0)</f>
        <v>1.3416666786666667</v>
      </c>
      <c r="O734" s="11">
        <f>IFERROR(H734/I734,0)</f>
        <v>8.0500000719999996</v>
      </c>
      <c r="P734" s="11">
        <f>IFERROR((J734-H734)/H734,0)</f>
        <v>9.5590061167393241</v>
      </c>
    </row>
    <row r="735" spans="1:16">
      <c r="A735">
        <v>735140</v>
      </c>
      <c r="B735" t="s">
        <v>161</v>
      </c>
      <c r="C735" t="s">
        <v>3</v>
      </c>
      <c r="D735" t="s">
        <v>5</v>
      </c>
      <c r="E735" s="14">
        <v>26</v>
      </c>
      <c r="F735" s="14">
        <v>6907</v>
      </c>
      <c r="G735" s="14">
        <v>2</v>
      </c>
      <c r="H735" s="13">
        <v>2.3499999640000002</v>
      </c>
      <c r="I735" s="14">
        <v>1</v>
      </c>
      <c r="J735" s="11">
        <f>I735*85</f>
        <v>85</v>
      </c>
      <c r="K735" s="11">
        <f>J735-H735</f>
        <v>82.650000035999994</v>
      </c>
      <c r="L735" s="10">
        <f>G735/F735</f>
        <v>2.895613146083683E-4</v>
      </c>
      <c r="M735" s="14">
        <f>IFERROR(ROUND(I735/G735,2),0)</f>
        <v>0.5</v>
      </c>
      <c r="N735" s="11">
        <f>IFERROR(H735/G735,0)</f>
        <v>1.1749999820000001</v>
      </c>
      <c r="O735" s="11">
        <f>IFERROR(H735/I735,0)</f>
        <v>2.3499999640000002</v>
      </c>
      <c r="P735" s="11">
        <f>IFERROR((J735-H735)/H735,0)</f>
        <v>35.170213320054323</v>
      </c>
    </row>
    <row r="736" spans="1:16">
      <c r="A736">
        <v>735143</v>
      </c>
      <c r="B736" t="s">
        <v>161</v>
      </c>
      <c r="C736" t="s">
        <v>3</v>
      </c>
      <c r="D736" t="s">
        <v>5</v>
      </c>
      <c r="E736" s="14">
        <v>27</v>
      </c>
      <c r="F736" s="14">
        <v>39035</v>
      </c>
      <c r="G736" s="14">
        <v>13</v>
      </c>
      <c r="H736" s="13">
        <v>19.329999569999998</v>
      </c>
      <c r="I736" s="14">
        <v>1</v>
      </c>
      <c r="J736" s="11">
        <f>I736*85</f>
        <v>85</v>
      </c>
      <c r="K736" s="11">
        <f>J736-H736</f>
        <v>65.670000430000002</v>
      </c>
      <c r="L736" s="10">
        <f>G736/F736</f>
        <v>3.330344562572051E-4</v>
      </c>
      <c r="M736" s="14">
        <f>IFERROR(ROUND(I736/G736,2),0)</f>
        <v>0.08</v>
      </c>
      <c r="N736" s="11">
        <f>IFERROR(H736/G736,0)</f>
        <v>1.4869230438461538</v>
      </c>
      <c r="O736" s="11">
        <f>IFERROR(H736/I736,0)</f>
        <v>19.329999569999998</v>
      </c>
      <c r="P736" s="11">
        <f>IFERROR((J736-H736)/H736,0)</f>
        <v>3.3973099788330727</v>
      </c>
    </row>
    <row r="737" spans="1:16">
      <c r="A737">
        <v>735184</v>
      </c>
      <c r="B737" t="s">
        <v>161</v>
      </c>
      <c r="C737" t="s">
        <v>3</v>
      </c>
      <c r="D737" t="s">
        <v>5</v>
      </c>
      <c r="E737" s="14">
        <v>63</v>
      </c>
      <c r="F737" s="14">
        <v>4412</v>
      </c>
      <c r="G737" s="14">
        <v>1</v>
      </c>
      <c r="H737" s="13">
        <v>1.4500000479999999</v>
      </c>
      <c r="I737" s="14">
        <v>1</v>
      </c>
      <c r="J737" s="11">
        <f>I737*85</f>
        <v>85</v>
      </c>
      <c r="K737" s="11">
        <f>J737-H737</f>
        <v>83.549999951999993</v>
      </c>
      <c r="L737" s="10">
        <f>G737/F737</f>
        <v>2.2665457842248413E-4</v>
      </c>
      <c r="M737" s="14">
        <f>IFERROR(ROUND(I737/G737,2),0)</f>
        <v>1</v>
      </c>
      <c r="N737" s="11">
        <f>IFERROR(H737/G737,0)</f>
        <v>1.4500000479999999</v>
      </c>
      <c r="O737" s="11">
        <f>IFERROR(H737/I737,0)</f>
        <v>1.4500000479999999</v>
      </c>
      <c r="P737" s="11">
        <f>IFERROR((J737-H737)/H737,0)</f>
        <v>57.620687714625511</v>
      </c>
    </row>
    <row r="738" spans="1:16">
      <c r="A738">
        <v>735189</v>
      </c>
      <c r="B738" t="s">
        <v>161</v>
      </c>
      <c r="C738" t="s">
        <v>3</v>
      </c>
      <c r="D738" t="s">
        <v>5</v>
      </c>
      <c r="E738" s="14">
        <v>64</v>
      </c>
      <c r="F738" s="14">
        <v>9965</v>
      </c>
      <c r="G738" s="14">
        <v>3</v>
      </c>
      <c r="H738" s="13">
        <v>4.0500000719999996</v>
      </c>
      <c r="I738" s="14">
        <v>1</v>
      </c>
      <c r="J738" s="11">
        <f>I738*85</f>
        <v>85</v>
      </c>
      <c r="K738" s="11">
        <f>J738-H738</f>
        <v>80.949999927999997</v>
      </c>
      <c r="L738" s="10">
        <f>G738/F738</f>
        <v>3.0105368790767686E-4</v>
      </c>
      <c r="M738" s="14">
        <f>IFERROR(ROUND(I738/G738,2),0)</f>
        <v>0.33</v>
      </c>
      <c r="N738" s="11">
        <f>IFERROR(H738/G738,0)</f>
        <v>1.3500000239999999</v>
      </c>
      <c r="O738" s="11">
        <f>IFERROR(H738/I738,0)</f>
        <v>4.0500000719999996</v>
      </c>
      <c r="P738" s="11">
        <f>IFERROR((J738-H738)/H738,0)</f>
        <v>19.987653947873806</v>
      </c>
    </row>
    <row r="739" spans="1:16">
      <c r="A739">
        <v>735213</v>
      </c>
      <c r="B739" t="s">
        <v>161</v>
      </c>
      <c r="C739" t="s">
        <v>4</v>
      </c>
      <c r="D739" t="s">
        <v>5</v>
      </c>
      <c r="E739" s="14">
        <v>10</v>
      </c>
      <c r="F739" s="14">
        <v>73634</v>
      </c>
      <c r="G739" s="14">
        <v>23</v>
      </c>
      <c r="H739" s="13">
        <v>32.97999978</v>
      </c>
      <c r="I739" s="14">
        <v>1</v>
      </c>
      <c r="J739" s="11">
        <f>I739*85</f>
        <v>85</v>
      </c>
      <c r="K739" s="11">
        <f>J739-H739</f>
        <v>52.02000022</v>
      </c>
      <c r="L739" s="10">
        <f>G739/F739</f>
        <v>3.1235570524485969E-4</v>
      </c>
      <c r="M739" s="14">
        <f>IFERROR(ROUND(I739/G739,2),0)</f>
        <v>0.04</v>
      </c>
      <c r="N739" s="11">
        <f>IFERROR(H739/G739,0)</f>
        <v>1.4339130339130435</v>
      </c>
      <c r="O739" s="11">
        <f>IFERROR(H739/I739,0)</f>
        <v>32.97999978</v>
      </c>
      <c r="P739" s="11">
        <f>IFERROR((J739-H739)/H739,0)</f>
        <v>1.5773196048214164</v>
      </c>
    </row>
    <row r="740" spans="1:16">
      <c r="A740">
        <v>735220</v>
      </c>
      <c r="B740" t="s">
        <v>161</v>
      </c>
      <c r="C740" t="s">
        <v>4</v>
      </c>
      <c r="D740" t="s">
        <v>5</v>
      </c>
      <c r="E740" s="14">
        <v>15</v>
      </c>
      <c r="F740" s="14">
        <v>69708</v>
      </c>
      <c r="G740" s="14">
        <v>20</v>
      </c>
      <c r="H740" s="13">
        <v>31.28999949</v>
      </c>
      <c r="I740" s="14">
        <v>1</v>
      </c>
      <c r="J740" s="11">
        <f>I740*85</f>
        <v>85</v>
      </c>
      <c r="K740" s="11">
        <f>J740-H740</f>
        <v>53.71000051</v>
      </c>
      <c r="L740" s="10">
        <f>G740/F740</f>
        <v>2.8691111493659262E-4</v>
      </c>
      <c r="M740" s="14">
        <f>IFERROR(ROUND(I740/G740,2),0)</f>
        <v>0.05</v>
      </c>
      <c r="N740" s="11">
        <f>IFERROR(H740/G740,0)</f>
        <v>1.5644999744999999</v>
      </c>
      <c r="O740" s="11">
        <f>IFERROR(H740/I740,0)</f>
        <v>31.28999949</v>
      </c>
      <c r="P740" s="11">
        <f>IFERROR((J740-H740)/H740,0)</f>
        <v>1.7165228950280178</v>
      </c>
    </row>
    <row r="741" spans="1:16">
      <c r="A741">
        <v>735247</v>
      </c>
      <c r="B741" t="s">
        <v>161</v>
      </c>
      <c r="C741" t="s">
        <v>4</v>
      </c>
      <c r="D741" t="s">
        <v>5</v>
      </c>
      <c r="E741" s="14">
        <v>20</v>
      </c>
      <c r="F741" s="14">
        <v>14257</v>
      </c>
      <c r="G741" s="14">
        <v>6</v>
      </c>
      <c r="H741" s="13">
        <v>8.7899999619999996</v>
      </c>
      <c r="I741" s="14">
        <v>1</v>
      </c>
      <c r="J741" s="11">
        <f>I741*85</f>
        <v>85</v>
      </c>
      <c r="K741" s="11">
        <f>J741-H741</f>
        <v>76.210000038000004</v>
      </c>
      <c r="L741" s="10">
        <f>G741/F741</f>
        <v>4.2084590025952165E-4</v>
      </c>
      <c r="M741" s="14">
        <f>IFERROR(ROUND(I741/G741,2),0)</f>
        <v>0.17</v>
      </c>
      <c r="N741" s="11">
        <f>IFERROR(H741/G741,0)</f>
        <v>1.4649999936666667</v>
      </c>
      <c r="O741" s="11">
        <f>IFERROR(H741/I741,0)</f>
        <v>8.7899999619999996</v>
      </c>
      <c r="P741" s="11">
        <f>IFERROR((J741-H741)/H741,0)</f>
        <v>8.670079677754611</v>
      </c>
    </row>
    <row r="742" spans="1:16">
      <c r="A742">
        <v>735290</v>
      </c>
      <c r="B742" t="s">
        <v>161</v>
      </c>
      <c r="C742" t="s">
        <v>4</v>
      </c>
      <c r="D742" t="s">
        <v>5</v>
      </c>
      <c r="E742" s="14">
        <v>27</v>
      </c>
      <c r="F742" s="14">
        <v>12215</v>
      </c>
      <c r="G742" s="14">
        <v>4</v>
      </c>
      <c r="H742" s="13">
        <v>6.26000011</v>
      </c>
      <c r="I742" s="14">
        <v>1</v>
      </c>
      <c r="J742" s="11">
        <f>I742*85</f>
        <v>85</v>
      </c>
      <c r="K742" s="11">
        <f>J742-H742</f>
        <v>78.739999890000007</v>
      </c>
      <c r="L742" s="10">
        <f>G742/F742</f>
        <v>3.2746623004502659E-4</v>
      </c>
      <c r="M742" s="14">
        <f>IFERROR(ROUND(I742/G742,2),0)</f>
        <v>0.25</v>
      </c>
      <c r="N742" s="11">
        <f>IFERROR(H742/G742,0)</f>
        <v>1.5650000275</v>
      </c>
      <c r="O742" s="11">
        <f>IFERROR(H742/I742,0)</f>
        <v>6.26000011</v>
      </c>
      <c r="P742" s="11">
        <f>IFERROR((J742-H742)/H742,0)</f>
        <v>12.57827452178751</v>
      </c>
    </row>
    <row r="743" spans="1:16">
      <c r="A743">
        <v>736869</v>
      </c>
      <c r="B743" t="s">
        <v>161</v>
      </c>
      <c r="C743" t="s">
        <v>0</v>
      </c>
      <c r="D743" t="s">
        <v>1</v>
      </c>
      <c r="E743" s="14">
        <v>2</v>
      </c>
      <c r="F743" s="14">
        <v>2338</v>
      </c>
      <c r="G743" s="14">
        <v>1</v>
      </c>
      <c r="H743" s="13">
        <v>0.23999999499999999</v>
      </c>
      <c r="I743" s="14">
        <v>1</v>
      </c>
      <c r="J743" s="11">
        <f>I743*85</f>
        <v>85</v>
      </c>
      <c r="K743" s="11">
        <f>J743-H743</f>
        <v>84.760000004999995</v>
      </c>
      <c r="L743" s="10">
        <f>G743/F743</f>
        <v>4.2771599657827201E-4</v>
      </c>
      <c r="M743" s="14">
        <f>IFERROR(ROUND(I743/G743,2),0)</f>
        <v>1</v>
      </c>
      <c r="N743" s="11">
        <f>IFERROR(H743/G743,0)</f>
        <v>0.23999999499999999</v>
      </c>
      <c r="O743" s="11">
        <f>IFERROR(H743/I743,0)</f>
        <v>0.23999999499999999</v>
      </c>
      <c r="P743" s="11">
        <f>IFERROR((J743-H743)/H743,0)</f>
        <v>353.16667404513902</v>
      </c>
    </row>
    <row r="744" spans="1:16">
      <c r="A744">
        <v>736988</v>
      </c>
      <c r="B744" t="s">
        <v>161</v>
      </c>
      <c r="C744" t="s">
        <v>0</v>
      </c>
      <c r="D744" t="s">
        <v>1</v>
      </c>
      <c r="E744" s="14">
        <v>28</v>
      </c>
      <c r="F744" s="14">
        <v>3891</v>
      </c>
      <c r="G744" s="14">
        <v>1</v>
      </c>
      <c r="H744" s="13">
        <v>1.0900000329999999</v>
      </c>
      <c r="I744" s="14">
        <v>1</v>
      </c>
      <c r="J744" s="11">
        <f>I744*85</f>
        <v>85</v>
      </c>
      <c r="K744" s="11">
        <f>J744-H744</f>
        <v>83.909999967000005</v>
      </c>
      <c r="L744" s="10">
        <f>G744/F744</f>
        <v>2.5700334104343357E-4</v>
      </c>
      <c r="M744" s="14">
        <f>IFERROR(ROUND(I744/G744,2),0)</f>
        <v>1</v>
      </c>
      <c r="N744" s="11">
        <f>IFERROR(H744/G744,0)</f>
        <v>1.0900000329999999</v>
      </c>
      <c r="O744" s="11">
        <f>IFERROR(H744/I744,0)</f>
        <v>1.0900000329999999</v>
      </c>
      <c r="P744" s="11">
        <f>IFERROR((J744-H744)/H744,0)</f>
        <v>76.981649015234495</v>
      </c>
    </row>
    <row r="745" spans="1:16">
      <c r="A745">
        <v>737130</v>
      </c>
      <c r="B745" t="s">
        <v>161</v>
      </c>
      <c r="C745" t="s">
        <v>2</v>
      </c>
      <c r="D745" t="s">
        <v>1</v>
      </c>
      <c r="E745" s="14">
        <v>16</v>
      </c>
      <c r="F745" s="14">
        <v>11199</v>
      </c>
      <c r="G745" s="14">
        <v>2</v>
      </c>
      <c r="H745" s="13">
        <v>2.6800000669999999</v>
      </c>
      <c r="I745" s="14">
        <v>1</v>
      </c>
      <c r="J745" s="11">
        <f>I745*85</f>
        <v>85</v>
      </c>
      <c r="K745" s="11">
        <f>J745-H745</f>
        <v>82.319999933000005</v>
      </c>
      <c r="L745" s="10">
        <f>G745/F745</f>
        <v>1.7858737387266719E-4</v>
      </c>
      <c r="M745" s="14">
        <f>IFERROR(ROUND(I745/G745,2),0)</f>
        <v>0.5</v>
      </c>
      <c r="N745" s="11">
        <f>IFERROR(H745/G745,0)</f>
        <v>1.3400000335</v>
      </c>
      <c r="O745" s="11">
        <f>IFERROR(H745/I745,0)</f>
        <v>2.6800000669999999</v>
      </c>
      <c r="P745" s="11">
        <f>IFERROR((J745-H745)/H745,0)</f>
        <v>30.716417117537336</v>
      </c>
    </row>
    <row r="746" spans="1:16">
      <c r="A746">
        <v>737320</v>
      </c>
      <c r="B746" t="s">
        <v>161</v>
      </c>
      <c r="C746" t="s">
        <v>2</v>
      </c>
      <c r="D746" t="s">
        <v>1</v>
      </c>
      <c r="E746" s="14">
        <v>63</v>
      </c>
      <c r="F746" s="14">
        <v>5676</v>
      </c>
      <c r="G746" s="14">
        <v>2</v>
      </c>
      <c r="H746" s="13">
        <v>3.0099999899999998</v>
      </c>
      <c r="I746" s="14">
        <v>1</v>
      </c>
      <c r="J746" s="11">
        <f>I746*85</f>
        <v>85</v>
      </c>
      <c r="K746" s="11">
        <f>J746-H746</f>
        <v>81.990000010000003</v>
      </c>
      <c r="L746" s="10">
        <f>G746/F746</f>
        <v>3.5236081747709656E-4</v>
      </c>
      <c r="M746" s="14">
        <f>IFERROR(ROUND(I746/G746,2),0)</f>
        <v>0.5</v>
      </c>
      <c r="N746" s="11">
        <f>IFERROR(H746/G746,0)</f>
        <v>1.5049999949999999</v>
      </c>
      <c r="O746" s="11">
        <f>IFERROR(H746/I746,0)</f>
        <v>3.0099999899999998</v>
      </c>
      <c r="P746" s="11">
        <f>IFERROR((J746-H746)/H746,0)</f>
        <v>27.23920275162526</v>
      </c>
    </row>
    <row r="747" spans="1:16">
      <c r="A747">
        <v>737644</v>
      </c>
      <c r="B747" t="s">
        <v>161</v>
      </c>
      <c r="C747" t="s">
        <v>4</v>
      </c>
      <c r="D747" t="s">
        <v>1</v>
      </c>
      <c r="E747" s="14">
        <v>16</v>
      </c>
      <c r="F747" s="14">
        <v>45401</v>
      </c>
      <c r="G747" s="14">
        <v>10</v>
      </c>
      <c r="H747" s="13">
        <v>14.06000042</v>
      </c>
      <c r="I747" s="14">
        <v>1</v>
      </c>
      <c r="J747" s="11">
        <f>I747*85</f>
        <v>85</v>
      </c>
      <c r="K747" s="11">
        <f>J747-H747</f>
        <v>70.939999580000006</v>
      </c>
      <c r="L747" s="10">
        <f>G747/F747</f>
        <v>2.2025946565053632E-4</v>
      </c>
      <c r="M747" s="14">
        <f>IFERROR(ROUND(I747/G747,2),0)</f>
        <v>0.1</v>
      </c>
      <c r="N747" s="11">
        <f>IFERROR(H747/G747,0)</f>
        <v>1.4060000420000001</v>
      </c>
      <c r="O747" s="11">
        <f>IFERROR(H747/I747,0)</f>
        <v>14.06000042</v>
      </c>
      <c r="P747" s="11">
        <f>IFERROR((J747-H747)/H747,0)</f>
        <v>5.0455190228223339</v>
      </c>
    </row>
    <row r="748" spans="1:16">
      <c r="A748">
        <v>737658</v>
      </c>
      <c r="B748" t="s">
        <v>161</v>
      </c>
      <c r="C748" t="s">
        <v>4</v>
      </c>
      <c r="D748" t="s">
        <v>1</v>
      </c>
      <c r="E748" s="14">
        <v>18</v>
      </c>
      <c r="F748" s="14">
        <v>4919</v>
      </c>
      <c r="G748" s="14">
        <v>1</v>
      </c>
      <c r="H748" s="13">
        <v>1.5900000329999999</v>
      </c>
      <c r="I748" s="14">
        <v>1</v>
      </c>
      <c r="J748" s="11">
        <f>I748*85</f>
        <v>85</v>
      </c>
      <c r="K748" s="11">
        <f>J748-H748</f>
        <v>83.409999967000005</v>
      </c>
      <c r="L748" s="10">
        <f>G748/F748</f>
        <v>2.0329335230737954E-4</v>
      </c>
      <c r="M748" s="14">
        <f>IFERROR(ROUND(I748/G748,2),0)</f>
        <v>1</v>
      </c>
      <c r="N748" s="11">
        <f>IFERROR(H748/G748,0)</f>
        <v>1.5900000329999999</v>
      </c>
      <c r="O748" s="11">
        <f>IFERROR(H748/I748,0)</f>
        <v>1.5900000329999999</v>
      </c>
      <c r="P748" s="11">
        <f>IFERROR((J748-H748)/H748,0)</f>
        <v>52.459118387326477</v>
      </c>
    </row>
    <row r="749" spans="1:16">
      <c r="A749">
        <v>737896</v>
      </c>
      <c r="B749" t="s">
        <v>161</v>
      </c>
      <c r="C749" t="s">
        <v>0</v>
      </c>
      <c r="D749" t="s">
        <v>5</v>
      </c>
      <c r="E749" s="14">
        <v>16</v>
      </c>
      <c r="F749" s="14">
        <v>17553</v>
      </c>
      <c r="G749" s="14">
        <v>3</v>
      </c>
      <c r="H749" s="13">
        <v>4.5900001530000001</v>
      </c>
      <c r="I749" s="14">
        <v>1</v>
      </c>
      <c r="J749" s="11">
        <f>I749*85</f>
        <v>85</v>
      </c>
      <c r="K749" s="11">
        <f>J749-H749</f>
        <v>80.409999846999995</v>
      </c>
      <c r="L749" s="10">
        <f>G749/F749</f>
        <v>1.7091095539224064E-4</v>
      </c>
      <c r="M749" s="14">
        <f>IFERROR(ROUND(I749/G749,2),0)</f>
        <v>0.33</v>
      </c>
      <c r="N749" s="11">
        <f>IFERROR(H749/G749,0)</f>
        <v>1.530000051</v>
      </c>
      <c r="O749" s="11">
        <f>IFERROR(H749/I749,0)</f>
        <v>4.5900001530000001</v>
      </c>
      <c r="P749" s="11">
        <f>IFERROR((J749-H749)/H749,0)</f>
        <v>17.518517901234588</v>
      </c>
    </row>
    <row r="750" spans="1:16">
      <c r="A750">
        <v>737931</v>
      </c>
      <c r="B750" t="s">
        <v>161</v>
      </c>
      <c r="C750" t="s">
        <v>0</v>
      </c>
      <c r="D750" t="s">
        <v>5</v>
      </c>
      <c r="E750" s="14">
        <v>20</v>
      </c>
      <c r="F750" s="14">
        <v>3343</v>
      </c>
      <c r="G750" s="14">
        <v>1</v>
      </c>
      <c r="H750" s="13">
        <v>0.540000021</v>
      </c>
      <c r="I750" s="14">
        <v>1</v>
      </c>
      <c r="J750" s="11">
        <f>I750*85</f>
        <v>85</v>
      </c>
      <c r="K750" s="11">
        <f>J750-H750</f>
        <v>84.459999979000003</v>
      </c>
      <c r="L750" s="10">
        <f>G750/F750</f>
        <v>2.9913251570445708E-4</v>
      </c>
      <c r="M750" s="14">
        <f>IFERROR(ROUND(I750/G750,2),0)</f>
        <v>1</v>
      </c>
      <c r="N750" s="11">
        <f>IFERROR(H750/G750,0)</f>
        <v>0.540000021</v>
      </c>
      <c r="O750" s="11">
        <f>IFERROR(H750/I750,0)</f>
        <v>0.540000021</v>
      </c>
      <c r="P750" s="11">
        <f>IFERROR((J750-H750)/H750,0)</f>
        <v>156.40740128600848</v>
      </c>
    </row>
    <row r="751" spans="1:16">
      <c r="A751">
        <v>738637</v>
      </c>
      <c r="B751" t="s">
        <v>161</v>
      </c>
      <c r="C751" t="s">
        <v>4</v>
      </c>
      <c r="D751" t="s">
        <v>5</v>
      </c>
      <c r="E751" s="14">
        <v>24</v>
      </c>
      <c r="F751" s="14">
        <v>944</v>
      </c>
      <c r="G751" s="14">
        <v>1</v>
      </c>
      <c r="H751" s="13">
        <v>1.4199999569999999</v>
      </c>
      <c r="I751" s="14">
        <v>1</v>
      </c>
      <c r="J751" s="11">
        <f>I751*85</f>
        <v>85</v>
      </c>
      <c r="K751" s="11">
        <f>J751-H751</f>
        <v>83.580000042999998</v>
      </c>
      <c r="L751" s="10">
        <f>G751/F751</f>
        <v>1.0593220338983051E-3</v>
      </c>
      <c r="M751" s="14">
        <f>IFERROR(ROUND(I751/G751,2),0)</f>
        <v>1</v>
      </c>
      <c r="N751" s="11">
        <f>IFERROR(H751/G751,0)</f>
        <v>1.4199999569999999</v>
      </c>
      <c r="O751" s="11">
        <f>IFERROR(H751/I751,0)</f>
        <v>1.4199999569999999</v>
      </c>
      <c r="P751" s="11">
        <f>IFERROR((J751-H751)/H751,0)</f>
        <v>58.859156742213905</v>
      </c>
    </row>
    <row r="752" spans="1:16">
      <c r="A752">
        <v>747212</v>
      </c>
      <c r="B752" t="s">
        <v>161</v>
      </c>
      <c r="C752" t="s">
        <v>0</v>
      </c>
      <c r="D752" t="s">
        <v>1</v>
      </c>
      <c r="E752" s="14">
        <v>10</v>
      </c>
      <c r="F752" s="14">
        <v>7208</v>
      </c>
      <c r="G752" s="14">
        <v>2</v>
      </c>
      <c r="H752" s="13">
        <v>3.1900000569999998</v>
      </c>
      <c r="I752" s="14">
        <v>1</v>
      </c>
      <c r="J752" s="11">
        <f>I752*85</f>
        <v>85</v>
      </c>
      <c r="K752" s="11">
        <f>J752-H752</f>
        <v>81.809999942999994</v>
      </c>
      <c r="L752" s="10">
        <f>G752/F752</f>
        <v>2.7746947835738069E-4</v>
      </c>
      <c r="M752" s="14">
        <f>IFERROR(ROUND(I752/G752,2),0)</f>
        <v>0.5</v>
      </c>
      <c r="N752" s="11">
        <f>IFERROR(H752/G752,0)</f>
        <v>1.5950000284999999</v>
      </c>
      <c r="O752" s="11">
        <f>IFERROR(H752/I752,0)</f>
        <v>3.1900000569999998</v>
      </c>
      <c r="P752" s="11">
        <f>IFERROR((J752-H752)/H752,0)</f>
        <v>25.645767548962773</v>
      </c>
    </row>
    <row r="753" spans="1:16">
      <c r="A753">
        <v>747222</v>
      </c>
      <c r="B753" t="s">
        <v>161</v>
      </c>
      <c r="C753" t="s">
        <v>0</v>
      </c>
      <c r="D753" t="s">
        <v>1</v>
      </c>
      <c r="E753" s="14">
        <v>16</v>
      </c>
      <c r="F753" s="14">
        <v>12489</v>
      </c>
      <c r="G753" s="14">
        <v>2</v>
      </c>
      <c r="H753" s="13">
        <v>1.960000038</v>
      </c>
      <c r="I753" s="14">
        <v>1</v>
      </c>
      <c r="J753" s="11">
        <f>I753*85</f>
        <v>85</v>
      </c>
      <c r="K753" s="11">
        <f>J753-H753</f>
        <v>83.039999961999996</v>
      </c>
      <c r="L753" s="10">
        <f>G753/F753</f>
        <v>1.6014092401313155E-4</v>
      </c>
      <c r="M753" s="14">
        <f>IFERROR(ROUND(I753/G753,2),0)</f>
        <v>0.5</v>
      </c>
      <c r="N753" s="11">
        <f>IFERROR(H753/G753,0)</f>
        <v>0.980000019</v>
      </c>
      <c r="O753" s="11">
        <f>IFERROR(H753/I753,0)</f>
        <v>1.960000038</v>
      </c>
      <c r="P753" s="11">
        <f>IFERROR((J753-H753)/H753,0)</f>
        <v>42.367346097980025</v>
      </c>
    </row>
    <row r="754" spans="1:16">
      <c r="A754">
        <v>747659</v>
      </c>
      <c r="B754" t="s">
        <v>161</v>
      </c>
      <c r="C754" t="s">
        <v>4</v>
      </c>
      <c r="D754" t="s">
        <v>1</v>
      </c>
      <c r="E754" s="14">
        <v>16</v>
      </c>
      <c r="F754" s="14">
        <v>12186</v>
      </c>
      <c r="G754" s="14">
        <v>2</v>
      </c>
      <c r="H754" s="13">
        <v>2.6699999569999999</v>
      </c>
      <c r="I754" s="14">
        <v>1</v>
      </c>
      <c r="J754" s="11">
        <f>I754*85</f>
        <v>85</v>
      </c>
      <c r="K754" s="11">
        <f>J754-H754</f>
        <v>82.330000042999998</v>
      </c>
      <c r="L754" s="10">
        <f>G754/F754</f>
        <v>1.6412276382734285E-4</v>
      </c>
      <c r="M754" s="14">
        <f>IFERROR(ROUND(I754/G754,2),0)</f>
        <v>0.5</v>
      </c>
      <c r="N754" s="11">
        <f>IFERROR(H754/G754,0)</f>
        <v>1.3349999785</v>
      </c>
      <c r="O754" s="11">
        <f>IFERROR(H754/I754,0)</f>
        <v>2.6699999569999999</v>
      </c>
      <c r="P754" s="11">
        <f>IFERROR((J754-H754)/H754,0)</f>
        <v>30.83520650521119</v>
      </c>
    </row>
    <row r="755" spans="1:16">
      <c r="A755">
        <v>747798</v>
      </c>
      <c r="B755" t="s">
        <v>161</v>
      </c>
      <c r="C755" t="s">
        <v>0</v>
      </c>
      <c r="D755" t="s">
        <v>5</v>
      </c>
      <c r="E755" s="14">
        <v>16</v>
      </c>
      <c r="F755" s="14">
        <v>25884</v>
      </c>
      <c r="G755" s="14">
        <v>5</v>
      </c>
      <c r="H755" s="13">
        <v>7.3500001429999999</v>
      </c>
      <c r="I755" s="14">
        <v>1</v>
      </c>
      <c r="J755" s="11">
        <f>I755*85</f>
        <v>85</v>
      </c>
      <c r="K755" s="11">
        <f>J755-H755</f>
        <v>77.649999856999997</v>
      </c>
      <c r="L755" s="10">
        <f>G755/F755</f>
        <v>1.9316952557564519E-4</v>
      </c>
      <c r="M755" s="14">
        <f>IFERROR(ROUND(I755/G755,2),0)</f>
        <v>0.2</v>
      </c>
      <c r="N755" s="11">
        <f>IFERROR(H755/G755,0)</f>
        <v>1.4700000285999999</v>
      </c>
      <c r="O755" s="11">
        <f>IFERROR(H755/I755,0)</f>
        <v>7.3500001429999999</v>
      </c>
      <c r="P755" s="11">
        <f>IFERROR((J755-H755)/H755,0)</f>
        <v>10.564625625341296</v>
      </c>
    </row>
    <row r="756" spans="1:16">
      <c r="A756">
        <v>747828</v>
      </c>
      <c r="B756" t="s">
        <v>161</v>
      </c>
      <c r="C756" t="s">
        <v>0</v>
      </c>
      <c r="D756" t="s">
        <v>5</v>
      </c>
      <c r="E756" s="14">
        <v>22</v>
      </c>
      <c r="F756" s="14">
        <v>28488</v>
      </c>
      <c r="G756" s="14">
        <v>10</v>
      </c>
      <c r="H756" s="13">
        <v>9.3400000330000008</v>
      </c>
      <c r="I756" s="14">
        <v>1</v>
      </c>
      <c r="J756" s="11">
        <f>I756*85</f>
        <v>85</v>
      </c>
      <c r="K756" s="11">
        <f>J756-H756</f>
        <v>75.659999967000005</v>
      </c>
      <c r="L756" s="10">
        <f>G756/F756</f>
        <v>3.5102499297950013E-4</v>
      </c>
      <c r="M756" s="14">
        <f>IFERROR(ROUND(I756/G756,2),0)</f>
        <v>0.1</v>
      </c>
      <c r="N756" s="11">
        <f>IFERROR(H756/G756,0)</f>
        <v>0.9340000033000001</v>
      </c>
      <c r="O756" s="11">
        <f>IFERROR(H756/I756,0)</f>
        <v>9.3400000330000008</v>
      </c>
      <c r="P756" s="11">
        <f>IFERROR((J756-H756)/H756,0)</f>
        <v>8.1006423661326341</v>
      </c>
    </row>
    <row r="757" spans="1:16">
      <c r="A757">
        <v>747852</v>
      </c>
      <c r="B757" t="s">
        <v>161</v>
      </c>
      <c r="C757" t="s">
        <v>0</v>
      </c>
      <c r="D757" t="s">
        <v>5</v>
      </c>
      <c r="E757" s="14">
        <v>26</v>
      </c>
      <c r="F757" s="14">
        <v>10126</v>
      </c>
      <c r="G757" s="14">
        <v>3</v>
      </c>
      <c r="H757" s="13">
        <v>4.6199998860000004</v>
      </c>
      <c r="I757" s="14">
        <v>1</v>
      </c>
      <c r="J757" s="11">
        <f>I757*85</f>
        <v>85</v>
      </c>
      <c r="K757" s="11">
        <f>J757-H757</f>
        <v>80.380000113999998</v>
      </c>
      <c r="L757" s="10">
        <f>G757/F757</f>
        <v>2.962670353545329E-4</v>
      </c>
      <c r="M757" s="14">
        <f>IFERROR(ROUND(I757/G757,2),0)</f>
        <v>0.33</v>
      </c>
      <c r="N757" s="11">
        <f>IFERROR(H757/G757,0)</f>
        <v>1.5399999620000002</v>
      </c>
      <c r="O757" s="11">
        <f>IFERROR(H757/I757,0)</f>
        <v>4.6199998860000004</v>
      </c>
      <c r="P757" s="11">
        <f>IFERROR((J757-H757)/H757,0)</f>
        <v>17.398268852251654</v>
      </c>
    </row>
    <row r="758" spans="1:16">
      <c r="A758">
        <v>747859</v>
      </c>
      <c r="B758" t="s">
        <v>161</v>
      </c>
      <c r="C758" t="s">
        <v>0</v>
      </c>
      <c r="D758" t="s">
        <v>5</v>
      </c>
      <c r="E758" s="14">
        <v>27</v>
      </c>
      <c r="F758" s="14">
        <v>22572</v>
      </c>
      <c r="G758" s="14">
        <v>5</v>
      </c>
      <c r="H758" s="13">
        <v>8.5</v>
      </c>
      <c r="I758" s="14">
        <v>1</v>
      </c>
      <c r="J758" s="11">
        <f>I758*85</f>
        <v>85</v>
      </c>
      <c r="K758" s="11">
        <f>J758-H758</f>
        <v>76.5</v>
      </c>
      <c r="L758" s="10">
        <f>G758/F758</f>
        <v>2.2151337940811626E-4</v>
      </c>
      <c r="M758" s="14">
        <f>IFERROR(ROUND(I758/G758,2),0)</f>
        <v>0.2</v>
      </c>
      <c r="N758" s="11">
        <f>IFERROR(H758/G758,0)</f>
        <v>1.7</v>
      </c>
      <c r="O758" s="11">
        <f>IFERROR(H758/I758,0)</f>
        <v>8.5</v>
      </c>
      <c r="P758" s="11">
        <f>IFERROR((J758-H758)/H758,0)</f>
        <v>9</v>
      </c>
    </row>
    <row r="759" spans="1:16">
      <c r="A759">
        <v>747991</v>
      </c>
      <c r="B759" t="s">
        <v>161</v>
      </c>
      <c r="C759" t="s">
        <v>2</v>
      </c>
      <c r="D759" t="s">
        <v>5</v>
      </c>
      <c r="E759" s="14">
        <v>25</v>
      </c>
      <c r="F759" s="14">
        <v>4868</v>
      </c>
      <c r="G759" s="14">
        <v>2</v>
      </c>
      <c r="H759" s="13">
        <v>2.420000076</v>
      </c>
      <c r="I759" s="14">
        <v>1</v>
      </c>
      <c r="J759" s="11">
        <f>I759*85</f>
        <v>85</v>
      </c>
      <c r="K759" s="11">
        <f>J759-H759</f>
        <v>82.579999924000006</v>
      </c>
      <c r="L759" s="10">
        <f>G759/F759</f>
        <v>4.1084634346754312E-4</v>
      </c>
      <c r="M759" s="14">
        <f>IFERROR(ROUND(I759/G759,2),0)</f>
        <v>0.5</v>
      </c>
      <c r="N759" s="11">
        <f>IFERROR(H759/G759,0)</f>
        <v>1.210000038</v>
      </c>
      <c r="O759" s="11">
        <f>IFERROR(H759/I759,0)</f>
        <v>2.420000076</v>
      </c>
      <c r="P759" s="11">
        <f>IFERROR((J759-H759)/H759,0)</f>
        <v>34.123965839082068</v>
      </c>
    </row>
    <row r="760" spans="1:16">
      <c r="A760">
        <v>748000</v>
      </c>
      <c r="B760" t="s">
        <v>161</v>
      </c>
      <c r="C760" t="s">
        <v>2</v>
      </c>
      <c r="D760" t="s">
        <v>5</v>
      </c>
      <c r="E760" s="14">
        <v>26</v>
      </c>
      <c r="F760" s="14">
        <v>6585</v>
      </c>
      <c r="G760" s="14">
        <v>2</v>
      </c>
      <c r="H760" s="13">
        <v>2.9500000480000002</v>
      </c>
      <c r="I760" s="14">
        <v>1</v>
      </c>
      <c r="J760" s="11">
        <f>I760*85</f>
        <v>85</v>
      </c>
      <c r="K760" s="11">
        <f>J760-H760</f>
        <v>82.049999951999993</v>
      </c>
      <c r="L760" s="10">
        <f>G760/F760</f>
        <v>3.0372057706909645E-4</v>
      </c>
      <c r="M760" s="14">
        <f>IFERROR(ROUND(I760/G760,2),0)</f>
        <v>0.5</v>
      </c>
      <c r="N760" s="11">
        <f>IFERROR(H760/G760,0)</f>
        <v>1.4750000240000001</v>
      </c>
      <c r="O760" s="11">
        <f>IFERROR(H760/I760,0)</f>
        <v>2.9500000480000002</v>
      </c>
      <c r="P760" s="11">
        <f>IFERROR((J760-H760)/H760,0)</f>
        <v>27.813558853203105</v>
      </c>
    </row>
    <row r="761" spans="1:16">
      <c r="A761">
        <v>748014</v>
      </c>
      <c r="B761" t="s">
        <v>161</v>
      </c>
      <c r="C761" t="s">
        <v>2</v>
      </c>
      <c r="D761" t="s">
        <v>5</v>
      </c>
      <c r="E761" s="14">
        <v>29</v>
      </c>
      <c r="F761" s="14">
        <v>11182</v>
      </c>
      <c r="G761" s="14">
        <v>4</v>
      </c>
      <c r="H761" s="13">
        <v>4.4499998090000004</v>
      </c>
      <c r="I761" s="14">
        <v>1</v>
      </c>
      <c r="J761" s="11">
        <f>I761*85</f>
        <v>85</v>
      </c>
      <c r="K761" s="11">
        <f>J761-H761</f>
        <v>80.550000190999995</v>
      </c>
      <c r="L761" s="10">
        <f>G761/F761</f>
        <v>3.5771776068681808E-4</v>
      </c>
      <c r="M761" s="14">
        <f>IFERROR(ROUND(I761/G761,2),0)</f>
        <v>0.25</v>
      </c>
      <c r="N761" s="11">
        <f>IFERROR(H761/G761,0)</f>
        <v>1.1124999522500001</v>
      </c>
      <c r="O761" s="11">
        <f>IFERROR(H761/I761,0)</f>
        <v>4.4499998090000004</v>
      </c>
      <c r="P761" s="11">
        <f>IFERROR((J761-H761)/H761,0)</f>
        <v>18.101124415351631</v>
      </c>
    </row>
    <row r="762" spans="1:16">
      <c r="A762">
        <v>748086</v>
      </c>
      <c r="B762" t="s">
        <v>161</v>
      </c>
      <c r="C762" t="s">
        <v>3</v>
      </c>
      <c r="D762" t="s">
        <v>5</v>
      </c>
      <c r="E762" s="14">
        <v>16</v>
      </c>
      <c r="F762" s="14">
        <v>34127</v>
      </c>
      <c r="G762" s="14">
        <v>8</v>
      </c>
      <c r="H762" s="13">
        <v>13.07000017</v>
      </c>
      <c r="I762" s="14">
        <v>1</v>
      </c>
      <c r="J762" s="11">
        <f>I762*85</f>
        <v>85</v>
      </c>
      <c r="K762" s="11">
        <f>J762-H762</f>
        <v>71.92999983</v>
      </c>
      <c r="L762" s="10">
        <f>G762/F762</f>
        <v>2.3441849561930435E-4</v>
      </c>
      <c r="M762" s="14">
        <f>IFERROR(ROUND(I762/G762,2),0)</f>
        <v>0.13</v>
      </c>
      <c r="N762" s="11">
        <f>IFERROR(H762/G762,0)</f>
        <v>1.63375002125</v>
      </c>
      <c r="O762" s="11">
        <f>IFERROR(H762/I762,0)</f>
        <v>13.07000017</v>
      </c>
      <c r="P762" s="11">
        <f>IFERROR((J762-H762)/H762,0)</f>
        <v>5.5034429146453485</v>
      </c>
    </row>
    <row r="763" spans="1:16">
      <c r="A763">
        <v>748089</v>
      </c>
      <c r="B763" t="s">
        <v>161</v>
      </c>
      <c r="C763" t="s">
        <v>3</v>
      </c>
      <c r="D763" t="s">
        <v>5</v>
      </c>
      <c r="E763" s="14">
        <v>16</v>
      </c>
      <c r="F763" s="14">
        <v>38759</v>
      </c>
      <c r="G763" s="14">
        <v>9</v>
      </c>
      <c r="H763" s="13">
        <v>10.849999670000001</v>
      </c>
      <c r="I763" s="14">
        <v>1</v>
      </c>
      <c r="J763" s="11">
        <f>I763*85</f>
        <v>85</v>
      </c>
      <c r="K763" s="11">
        <f>J763-H763</f>
        <v>74.150000329999997</v>
      </c>
      <c r="L763" s="10">
        <f>G763/F763</f>
        <v>2.3220413323357157E-4</v>
      </c>
      <c r="M763" s="14">
        <f>IFERROR(ROUND(I763/G763,2),0)</f>
        <v>0.11</v>
      </c>
      <c r="N763" s="11">
        <f>IFERROR(H763/G763,0)</f>
        <v>1.2055555188888889</v>
      </c>
      <c r="O763" s="11">
        <f>IFERROR(H763/I763,0)</f>
        <v>10.849999670000001</v>
      </c>
      <c r="P763" s="11">
        <f>IFERROR((J763-H763)/H763,0)</f>
        <v>6.8341016207606939</v>
      </c>
    </row>
    <row r="764" spans="1:16">
      <c r="A764">
        <v>748225</v>
      </c>
      <c r="B764" t="s">
        <v>161</v>
      </c>
      <c r="C764" t="s">
        <v>4</v>
      </c>
      <c r="D764" t="s">
        <v>5</v>
      </c>
      <c r="E764" s="14">
        <v>15</v>
      </c>
      <c r="F764" s="14">
        <v>18602</v>
      </c>
      <c r="G764" s="14">
        <v>5</v>
      </c>
      <c r="H764" s="13">
        <v>8.8600001339999999</v>
      </c>
      <c r="I764" s="14">
        <v>1</v>
      </c>
      <c r="J764" s="11">
        <f>I764*85</f>
        <v>85</v>
      </c>
      <c r="K764" s="11">
        <f>J764-H764</f>
        <v>76.139999865999997</v>
      </c>
      <c r="L764" s="10">
        <f>G764/F764</f>
        <v>2.6878830233308245E-4</v>
      </c>
      <c r="M764" s="14">
        <f>IFERROR(ROUND(I764/G764,2),0)</f>
        <v>0.2</v>
      </c>
      <c r="N764" s="11">
        <f>IFERROR(H764/G764,0)</f>
        <v>1.7720000268</v>
      </c>
      <c r="O764" s="11">
        <f>IFERROR(H764/I764,0)</f>
        <v>8.8600001339999999</v>
      </c>
      <c r="P764" s="11">
        <f>IFERROR((J764-H764)/H764,0)</f>
        <v>8.5936793131429994</v>
      </c>
    </row>
    <row r="765" spans="1:16">
      <c r="A765">
        <v>748231</v>
      </c>
      <c r="B765" t="s">
        <v>161</v>
      </c>
      <c r="C765" t="s">
        <v>4</v>
      </c>
      <c r="D765" t="s">
        <v>5</v>
      </c>
      <c r="E765" s="14">
        <v>16</v>
      </c>
      <c r="F765" s="14">
        <v>25194</v>
      </c>
      <c r="G765" s="14">
        <v>6</v>
      </c>
      <c r="H765" s="13">
        <v>7.3499999049999998</v>
      </c>
      <c r="I765" s="14">
        <v>1</v>
      </c>
      <c r="J765" s="11">
        <f>I765*85</f>
        <v>85</v>
      </c>
      <c r="K765" s="11">
        <f>J765-H765</f>
        <v>77.650000094999996</v>
      </c>
      <c r="L765" s="10">
        <f>G765/F765</f>
        <v>2.3815194093831864E-4</v>
      </c>
      <c r="M765" s="14">
        <f>IFERROR(ROUND(I765/G765,2),0)</f>
        <v>0.17</v>
      </c>
      <c r="N765" s="11">
        <f>IFERROR(H765/G765,0)</f>
        <v>1.2249999841666666</v>
      </c>
      <c r="O765" s="11">
        <f>IFERROR(H765/I765,0)</f>
        <v>7.3499999049999998</v>
      </c>
      <c r="P765" s="11">
        <f>IFERROR((J765-H765)/H765,0)</f>
        <v>10.564625999814893</v>
      </c>
    </row>
    <row r="766" spans="1:16">
      <c r="A766">
        <v>748233</v>
      </c>
      <c r="B766" t="s">
        <v>161</v>
      </c>
      <c r="C766" t="s">
        <v>4</v>
      </c>
      <c r="D766" t="s">
        <v>5</v>
      </c>
      <c r="E766" s="14">
        <v>16</v>
      </c>
      <c r="F766" s="14">
        <v>78627</v>
      </c>
      <c r="G766" s="14">
        <v>19</v>
      </c>
      <c r="H766" s="13">
        <v>26.530000449999999</v>
      </c>
      <c r="I766" s="14">
        <v>1</v>
      </c>
      <c r="J766" s="11">
        <f>I766*85</f>
        <v>85</v>
      </c>
      <c r="K766" s="11">
        <f>J766-H766</f>
        <v>58.469999549999997</v>
      </c>
      <c r="L766" s="10">
        <f>G766/F766</f>
        <v>2.4164727129357601E-4</v>
      </c>
      <c r="M766" s="14">
        <f>IFERROR(ROUND(I766/G766,2),0)</f>
        <v>0.05</v>
      </c>
      <c r="N766" s="11">
        <f>IFERROR(H766/G766,0)</f>
        <v>1.3963158131578948</v>
      </c>
      <c r="O766" s="11">
        <f>IFERROR(H766/I766,0)</f>
        <v>26.530000449999999</v>
      </c>
      <c r="P766" s="11">
        <f>IFERROR((J766-H766)/H766,0)</f>
        <v>2.203920036118959</v>
      </c>
    </row>
    <row r="767" spans="1:16">
      <c r="A767">
        <v>748295</v>
      </c>
      <c r="B767" t="s">
        <v>161</v>
      </c>
      <c r="C767" t="s">
        <v>4</v>
      </c>
      <c r="D767" t="s">
        <v>5</v>
      </c>
      <c r="E767" s="14">
        <v>27</v>
      </c>
      <c r="F767" s="14">
        <v>9240</v>
      </c>
      <c r="G767" s="14">
        <v>3</v>
      </c>
      <c r="H767" s="13">
        <v>6.0399999619999996</v>
      </c>
      <c r="I767" s="14">
        <v>1</v>
      </c>
      <c r="J767" s="11">
        <f>I767*85</f>
        <v>85</v>
      </c>
      <c r="K767" s="11">
        <f>J767-H767</f>
        <v>78.960000038000004</v>
      </c>
      <c r="L767" s="10">
        <f>G767/F767</f>
        <v>3.2467532467532468E-4</v>
      </c>
      <c r="M767" s="14">
        <f>IFERROR(ROUND(I767/G767,2),0)</f>
        <v>0.33</v>
      </c>
      <c r="N767" s="11">
        <f>IFERROR(H767/G767,0)</f>
        <v>2.0133333206666664</v>
      </c>
      <c r="O767" s="11">
        <f>IFERROR(H767/I767,0)</f>
        <v>6.0399999619999996</v>
      </c>
      <c r="P767" s="11">
        <f>IFERROR((J767-H767)/H767,0)</f>
        <v>13.07284777065699</v>
      </c>
    </row>
    <row r="768" spans="1:16">
      <c r="A768">
        <v>748303</v>
      </c>
      <c r="B768" t="s">
        <v>161</v>
      </c>
      <c r="C768" t="s">
        <v>4</v>
      </c>
      <c r="D768" t="s">
        <v>5</v>
      </c>
      <c r="E768" s="14">
        <v>29</v>
      </c>
      <c r="F768" s="14">
        <v>7706</v>
      </c>
      <c r="G768" s="14">
        <v>2</v>
      </c>
      <c r="H768" s="13">
        <v>2.369999886</v>
      </c>
      <c r="I768" s="14">
        <v>1</v>
      </c>
      <c r="J768" s="11">
        <f>I768*85</f>
        <v>85</v>
      </c>
      <c r="K768" s="11">
        <f>J768-H768</f>
        <v>82.630000113999998</v>
      </c>
      <c r="L768" s="10">
        <f>G768/F768</f>
        <v>2.5953802232026989E-4</v>
      </c>
      <c r="M768" s="14">
        <f>IFERROR(ROUND(I768/G768,2),0)</f>
        <v>0.5</v>
      </c>
      <c r="N768" s="11">
        <f>IFERROR(H768/G768,0)</f>
        <v>1.184999943</v>
      </c>
      <c r="O768" s="11">
        <f>IFERROR(H768/I768,0)</f>
        <v>2.369999886</v>
      </c>
      <c r="P768" s="11">
        <f>IFERROR((J768-H768)/H768,0)</f>
        <v>34.864980628104554</v>
      </c>
    </row>
    <row r="769" spans="1:16">
      <c r="A769">
        <v>776322</v>
      </c>
      <c r="B769" t="s">
        <v>161</v>
      </c>
      <c r="C769" t="s">
        <v>4</v>
      </c>
      <c r="D769" t="s">
        <v>5</v>
      </c>
      <c r="E769" s="14">
        <v>16</v>
      </c>
      <c r="F769" s="14">
        <v>119063</v>
      </c>
      <c r="G769" s="14">
        <v>34</v>
      </c>
      <c r="H769" s="13">
        <v>53.219999489999999</v>
      </c>
      <c r="I769" s="14">
        <v>1</v>
      </c>
      <c r="J769" s="11">
        <f>I769*85</f>
        <v>85</v>
      </c>
      <c r="K769" s="11">
        <f>J769-H769</f>
        <v>31.780000510000001</v>
      </c>
      <c r="L769" s="10">
        <f>G769/F769</f>
        <v>2.8556310524680212E-4</v>
      </c>
      <c r="M769" s="14">
        <f>IFERROR(ROUND(I769/G769,2),0)</f>
        <v>0.03</v>
      </c>
      <c r="N769" s="11">
        <f>IFERROR(H769/G769,0)</f>
        <v>1.5652941026470588</v>
      </c>
      <c r="O769" s="11">
        <f>IFERROR(H769/I769,0)</f>
        <v>53.219999489999999</v>
      </c>
      <c r="P769" s="11">
        <f>IFERROR((J769-H769)/H769,0)</f>
        <v>0.59714394615827537</v>
      </c>
    </row>
    <row r="770" spans="1:16">
      <c r="A770">
        <v>776325</v>
      </c>
      <c r="B770" t="s">
        <v>161</v>
      </c>
      <c r="C770" t="s">
        <v>4</v>
      </c>
      <c r="D770" t="s">
        <v>5</v>
      </c>
      <c r="E770" s="14">
        <v>16</v>
      </c>
      <c r="F770" s="14">
        <v>452398</v>
      </c>
      <c r="G770" s="14">
        <v>114</v>
      </c>
      <c r="H770" s="13">
        <v>180.22000120000001</v>
      </c>
      <c r="I770" s="14">
        <v>1</v>
      </c>
      <c r="J770" s="11">
        <f>I770*85</f>
        <v>85</v>
      </c>
      <c r="K770" s="11">
        <f>J770-H770</f>
        <v>-95.220001200000013</v>
      </c>
      <c r="L770" s="10">
        <f>G770/F770</f>
        <v>2.5199050393679903E-4</v>
      </c>
      <c r="M770" s="14">
        <f>IFERROR(ROUND(I770/G770,2),0)</f>
        <v>0.01</v>
      </c>
      <c r="N770" s="11">
        <f>IFERROR(H770/G770,0)</f>
        <v>1.5808772035087721</v>
      </c>
      <c r="O770" s="11">
        <f>IFERROR(H770/I770,0)</f>
        <v>180.22000120000001</v>
      </c>
      <c r="P770" s="11">
        <f>IFERROR((J770-H770)/H770,0)</f>
        <v>-0.52835423685481586</v>
      </c>
    </row>
    <row r="771" spans="1:16">
      <c r="A771">
        <v>776334</v>
      </c>
      <c r="B771" t="s">
        <v>161</v>
      </c>
      <c r="C771" t="s">
        <v>4</v>
      </c>
      <c r="D771" t="s">
        <v>5</v>
      </c>
      <c r="E771" s="14">
        <v>10</v>
      </c>
      <c r="F771" s="14">
        <v>191223</v>
      </c>
      <c r="G771" s="14">
        <v>48</v>
      </c>
      <c r="H771" s="13">
        <v>76.41000056</v>
      </c>
      <c r="I771" s="14">
        <v>1</v>
      </c>
      <c r="J771" s="11">
        <f>I771*85</f>
        <v>85</v>
      </c>
      <c r="K771" s="11">
        <f>J771-H771</f>
        <v>8.5899994399999997</v>
      </c>
      <c r="L771" s="10">
        <f>G771/F771</f>
        <v>2.5101582968575954E-4</v>
      </c>
      <c r="M771" s="14">
        <f>IFERROR(ROUND(I771/G771,2),0)</f>
        <v>0.02</v>
      </c>
      <c r="N771" s="11">
        <f>IFERROR(H771/G771,0)</f>
        <v>1.5918750116666667</v>
      </c>
      <c r="O771" s="11">
        <f>IFERROR(H771/I771,0)</f>
        <v>76.41000056</v>
      </c>
      <c r="P771" s="11">
        <f>IFERROR((J771-H771)/H771,0)</f>
        <v>0.11241983218223915</v>
      </c>
    </row>
    <row r="772" spans="1:16">
      <c r="A772">
        <v>776336</v>
      </c>
      <c r="B772" t="s">
        <v>161</v>
      </c>
      <c r="C772" t="s">
        <v>4</v>
      </c>
      <c r="D772" t="s">
        <v>5</v>
      </c>
      <c r="E772" s="14">
        <v>10</v>
      </c>
      <c r="F772" s="14">
        <v>22216</v>
      </c>
      <c r="G772" s="14">
        <v>6</v>
      </c>
      <c r="H772" s="13">
        <v>9.5499999520000003</v>
      </c>
      <c r="I772" s="14">
        <v>1</v>
      </c>
      <c r="J772" s="11">
        <f>I772*85</f>
        <v>85</v>
      </c>
      <c r="K772" s="11">
        <f>J772-H772</f>
        <v>75.450000047999993</v>
      </c>
      <c r="L772" s="10">
        <f>G772/F772</f>
        <v>2.7007562117392869E-4</v>
      </c>
      <c r="M772" s="14">
        <f>IFERROR(ROUND(I772/G772,2),0)</f>
        <v>0.17</v>
      </c>
      <c r="N772" s="11">
        <f>IFERROR(H772/G772,0)</f>
        <v>1.5916666586666668</v>
      </c>
      <c r="O772" s="11">
        <f>IFERROR(H772/I772,0)</f>
        <v>9.5499999520000003</v>
      </c>
      <c r="P772" s="11">
        <f>IFERROR((J772-H772)/H772,0)</f>
        <v>7.9005236049450387</v>
      </c>
    </row>
    <row r="773" spans="1:16">
      <c r="A773">
        <v>776338</v>
      </c>
      <c r="B773" t="s">
        <v>161</v>
      </c>
      <c r="C773" t="s">
        <v>4</v>
      </c>
      <c r="D773" t="s">
        <v>5</v>
      </c>
      <c r="E773" s="14">
        <v>10</v>
      </c>
      <c r="F773" s="14">
        <v>48291</v>
      </c>
      <c r="G773" s="14">
        <v>11</v>
      </c>
      <c r="H773" s="13">
        <v>18.019999980000001</v>
      </c>
      <c r="I773" s="14">
        <v>1</v>
      </c>
      <c r="J773" s="11">
        <f>I773*85</f>
        <v>85</v>
      </c>
      <c r="K773" s="11">
        <f>J773-H773</f>
        <v>66.980000020000006</v>
      </c>
      <c r="L773" s="10">
        <f>G773/F773</f>
        <v>2.2778571576484232E-4</v>
      </c>
      <c r="M773" s="14">
        <f>IFERROR(ROUND(I773/G773,2),0)</f>
        <v>0.09</v>
      </c>
      <c r="N773" s="11">
        <f>IFERROR(H773/G773,0)</f>
        <v>1.6381818163636366</v>
      </c>
      <c r="O773" s="11">
        <f>IFERROR(H773/I773,0)</f>
        <v>18.019999980000001</v>
      </c>
      <c r="P773" s="11">
        <f>IFERROR((J773-H773)/H773,0)</f>
        <v>3.7169811373107451</v>
      </c>
    </row>
    <row r="774" spans="1:16">
      <c r="A774">
        <v>776353</v>
      </c>
      <c r="B774" t="s">
        <v>161</v>
      </c>
      <c r="C774" t="s">
        <v>3</v>
      </c>
      <c r="D774" t="s">
        <v>5</v>
      </c>
      <c r="E774" s="14">
        <v>63</v>
      </c>
      <c r="F774" s="14">
        <v>27559</v>
      </c>
      <c r="G774" s="14">
        <v>8</v>
      </c>
      <c r="H774" s="13">
        <v>13.37</v>
      </c>
      <c r="I774" s="14">
        <v>1</v>
      </c>
      <c r="J774" s="11">
        <f>I774*85</f>
        <v>85</v>
      </c>
      <c r="K774" s="11">
        <f>J774-H774</f>
        <v>71.63</v>
      </c>
      <c r="L774" s="10">
        <f>G774/F774</f>
        <v>2.9028629485830401E-4</v>
      </c>
      <c r="M774" s="14">
        <f>IFERROR(ROUND(I774/G774,2),0)</f>
        <v>0.13</v>
      </c>
      <c r="N774" s="11">
        <f>IFERROR(H774/G774,0)</f>
        <v>1.6712499999999999</v>
      </c>
      <c r="O774" s="11">
        <f>IFERROR(H774/I774,0)</f>
        <v>13.37</v>
      </c>
      <c r="P774" s="11">
        <f>IFERROR((J774-H774)/H774,0)</f>
        <v>5.3575168287210175</v>
      </c>
    </row>
    <row r="775" spans="1:16">
      <c r="A775">
        <v>776405</v>
      </c>
      <c r="B775" t="s">
        <v>161</v>
      </c>
      <c r="C775" t="s">
        <v>4</v>
      </c>
      <c r="D775" t="s">
        <v>5</v>
      </c>
      <c r="E775" s="14">
        <v>21</v>
      </c>
      <c r="F775" s="14">
        <v>40126</v>
      </c>
      <c r="G775" s="14">
        <v>16</v>
      </c>
      <c r="H775" s="13">
        <v>25.86000001</v>
      </c>
      <c r="I775" s="14">
        <v>1</v>
      </c>
      <c r="J775" s="11">
        <f>I775*85</f>
        <v>85</v>
      </c>
      <c r="K775" s="11">
        <f>J775-H775</f>
        <v>59.13999999</v>
      </c>
      <c r="L775" s="10">
        <f>G775/F775</f>
        <v>3.9874395653690872E-4</v>
      </c>
      <c r="M775" s="14">
        <f>IFERROR(ROUND(I775/G775,2),0)</f>
        <v>0.06</v>
      </c>
      <c r="N775" s="11">
        <f>IFERROR(H775/G775,0)</f>
        <v>1.616250000625</v>
      </c>
      <c r="O775" s="11">
        <f>IFERROR(H775/I775,0)</f>
        <v>25.86000001</v>
      </c>
      <c r="P775" s="11">
        <f>IFERROR((J775-H775)/H775,0)</f>
        <v>2.286929619765302</v>
      </c>
    </row>
    <row r="776" spans="1:16">
      <c r="A776">
        <v>776475</v>
      </c>
      <c r="B776" t="s">
        <v>161</v>
      </c>
      <c r="C776" t="s">
        <v>0</v>
      </c>
      <c r="D776" t="s">
        <v>1</v>
      </c>
      <c r="E776" s="14">
        <v>16</v>
      </c>
      <c r="F776" s="14">
        <v>16425</v>
      </c>
      <c r="G776" s="14">
        <v>1</v>
      </c>
      <c r="H776" s="13">
        <v>1.5499999520000001</v>
      </c>
      <c r="I776" s="14">
        <v>1</v>
      </c>
      <c r="J776" s="11">
        <f>I776*85</f>
        <v>85</v>
      </c>
      <c r="K776" s="11">
        <f>J776-H776</f>
        <v>83.450000048000007</v>
      </c>
      <c r="L776" s="10">
        <f>G776/F776</f>
        <v>6.0882800608828003E-5</v>
      </c>
      <c r="M776" s="14">
        <f>IFERROR(ROUND(I776/G776,2),0)</f>
        <v>1</v>
      </c>
      <c r="N776" s="11">
        <f>IFERROR(H776/G776,0)</f>
        <v>1.5499999520000001</v>
      </c>
      <c r="O776" s="11">
        <f>IFERROR(H776/I776,0)</f>
        <v>1.5499999520000001</v>
      </c>
      <c r="P776" s="11">
        <f>IFERROR((J776-H776)/H776,0)</f>
        <v>53.838711375650419</v>
      </c>
    </row>
    <row r="777" spans="1:16">
      <c r="A777">
        <v>776489</v>
      </c>
      <c r="B777" t="s">
        <v>161</v>
      </c>
      <c r="C777" t="s">
        <v>4</v>
      </c>
      <c r="D777" t="s">
        <v>5</v>
      </c>
      <c r="E777" s="14">
        <v>26</v>
      </c>
      <c r="F777" s="14">
        <v>175389</v>
      </c>
      <c r="G777" s="14">
        <v>55</v>
      </c>
      <c r="H777" s="13">
        <v>81.609997870000001</v>
      </c>
      <c r="I777" s="14">
        <v>1</v>
      </c>
      <c r="J777" s="11">
        <f>I777*85</f>
        <v>85</v>
      </c>
      <c r="K777" s="11">
        <f>J777-H777</f>
        <v>3.3900021299999992</v>
      </c>
      <c r="L777" s="10">
        <f>G777/F777</f>
        <v>3.1358865151178236E-4</v>
      </c>
      <c r="M777" s="14">
        <f>IFERROR(ROUND(I777/G777,2),0)</f>
        <v>0.02</v>
      </c>
      <c r="N777" s="11">
        <f>IFERROR(H777/G777,0)</f>
        <v>1.4838181430909092</v>
      </c>
      <c r="O777" s="11">
        <f>IFERROR(H777/I777,0)</f>
        <v>81.609997870000001</v>
      </c>
      <c r="P777" s="11">
        <f>IFERROR((J777-H777)/H777,0)</f>
        <v>4.1539054263915999E-2</v>
      </c>
    </row>
    <row r="778" spans="1:16">
      <c r="A778">
        <v>776519</v>
      </c>
      <c r="B778" t="s">
        <v>161</v>
      </c>
      <c r="C778" t="s">
        <v>4</v>
      </c>
      <c r="D778" t="s">
        <v>5</v>
      </c>
      <c r="E778" s="14">
        <v>65</v>
      </c>
      <c r="F778" s="14">
        <v>70702</v>
      </c>
      <c r="G778" s="14">
        <v>20</v>
      </c>
      <c r="H778" s="13">
        <v>31.709999799999999</v>
      </c>
      <c r="I778" s="14">
        <v>1</v>
      </c>
      <c r="J778" s="11">
        <f>I778*85</f>
        <v>85</v>
      </c>
      <c r="K778" s="11">
        <f>J778-H778</f>
        <v>53.290000200000001</v>
      </c>
      <c r="L778" s="10">
        <f>G778/F778</f>
        <v>2.8287742920992336E-4</v>
      </c>
      <c r="M778" s="14">
        <f>IFERROR(ROUND(I778/G778,2),0)</f>
        <v>0.05</v>
      </c>
      <c r="N778" s="11">
        <f>IFERROR(H778/G778,0)</f>
        <v>1.58549999</v>
      </c>
      <c r="O778" s="11">
        <f>IFERROR(H778/I778,0)</f>
        <v>31.709999799999999</v>
      </c>
      <c r="P778" s="11">
        <f>IFERROR((J778-H778)/H778,0)</f>
        <v>1.6805424325483598</v>
      </c>
    </row>
    <row r="779" spans="1:16">
      <c r="A779">
        <v>776534</v>
      </c>
      <c r="B779" t="s">
        <v>161</v>
      </c>
      <c r="C779" t="s">
        <v>4</v>
      </c>
      <c r="D779" t="s">
        <v>5</v>
      </c>
      <c r="E779" s="14">
        <v>63</v>
      </c>
      <c r="F779" s="14">
        <v>15105</v>
      </c>
      <c r="G779" s="14">
        <v>3</v>
      </c>
      <c r="H779" s="13">
        <v>4.2599999899999998</v>
      </c>
      <c r="I779" s="14">
        <v>1</v>
      </c>
      <c r="J779" s="11">
        <f>I779*85</f>
        <v>85</v>
      </c>
      <c r="K779" s="11">
        <f>J779-H779</f>
        <v>80.740000010000003</v>
      </c>
      <c r="L779" s="10">
        <f>G779/F779</f>
        <v>1.9860973187686197E-4</v>
      </c>
      <c r="M779" s="14">
        <f>IFERROR(ROUND(I779/G779,2),0)</f>
        <v>0.33</v>
      </c>
      <c r="N779" s="11">
        <f>IFERROR(H779/G779,0)</f>
        <v>1.4199999966666665</v>
      </c>
      <c r="O779" s="11">
        <f>IFERROR(H779/I779,0)</f>
        <v>4.2599999899999998</v>
      </c>
      <c r="P779" s="11">
        <f>IFERROR((J779-H779)/H779,0)</f>
        <v>18.953051690030637</v>
      </c>
    </row>
    <row r="780" spans="1:16">
      <c r="A780">
        <v>776538</v>
      </c>
      <c r="B780" t="s">
        <v>161</v>
      </c>
      <c r="C780" t="s">
        <v>0</v>
      </c>
      <c r="D780" t="s">
        <v>5</v>
      </c>
      <c r="E780" s="14">
        <v>15</v>
      </c>
      <c r="F780" s="14">
        <v>8774</v>
      </c>
      <c r="G780" s="14">
        <v>1</v>
      </c>
      <c r="H780" s="13">
        <v>1.8300000430000001</v>
      </c>
      <c r="I780" s="14">
        <v>1</v>
      </c>
      <c r="J780" s="11">
        <f>I780*85</f>
        <v>85</v>
      </c>
      <c r="K780" s="11">
        <f>J780-H780</f>
        <v>83.169999957000002</v>
      </c>
      <c r="L780" s="10">
        <f>G780/F780</f>
        <v>1.1397310234784591E-4</v>
      </c>
      <c r="M780" s="14">
        <f>IFERROR(ROUND(I780/G780,2),0)</f>
        <v>1</v>
      </c>
      <c r="N780" s="11">
        <f>IFERROR(H780/G780,0)</f>
        <v>1.8300000430000001</v>
      </c>
      <c r="O780" s="11">
        <f>IFERROR(H780/I780,0)</f>
        <v>1.8300000430000001</v>
      </c>
      <c r="P780" s="11">
        <f>IFERROR((J780-H780)/H780,0)</f>
        <v>45.448086340290864</v>
      </c>
    </row>
    <row r="781" spans="1:16">
      <c r="A781">
        <v>776551</v>
      </c>
      <c r="B781" t="s">
        <v>161</v>
      </c>
      <c r="C781" t="s">
        <v>0</v>
      </c>
      <c r="D781" t="s">
        <v>5</v>
      </c>
      <c r="E781" s="14">
        <v>16</v>
      </c>
      <c r="F781" s="14">
        <v>14459</v>
      </c>
      <c r="G781" s="14">
        <v>1</v>
      </c>
      <c r="H781" s="13">
        <v>1.3899999860000001</v>
      </c>
      <c r="I781" s="14">
        <v>1</v>
      </c>
      <c r="J781" s="11">
        <f>I781*85</f>
        <v>85</v>
      </c>
      <c r="K781" s="11">
        <f>J781-H781</f>
        <v>83.610000013999993</v>
      </c>
      <c r="L781" s="10">
        <f>G781/F781</f>
        <v>6.9161076146344842E-5</v>
      </c>
      <c r="M781" s="14">
        <f>IFERROR(ROUND(I781/G781,2),0)</f>
        <v>1</v>
      </c>
      <c r="N781" s="11">
        <f>IFERROR(H781/G781,0)</f>
        <v>1.3899999860000001</v>
      </c>
      <c r="O781" s="11">
        <f>IFERROR(H781/I781,0)</f>
        <v>1.3899999860000001</v>
      </c>
      <c r="P781" s="11">
        <f>IFERROR((J781-H781)/H781,0)</f>
        <v>60.151079752600793</v>
      </c>
    </row>
    <row r="782" spans="1:16">
      <c r="A782">
        <v>776552</v>
      </c>
      <c r="B782" t="s">
        <v>161</v>
      </c>
      <c r="C782" t="s">
        <v>0</v>
      </c>
      <c r="D782" t="s">
        <v>5</v>
      </c>
      <c r="E782" s="14">
        <v>16</v>
      </c>
      <c r="F782" s="14">
        <v>21596</v>
      </c>
      <c r="G782" s="14">
        <v>2</v>
      </c>
      <c r="H782" s="13">
        <v>2.8099999430000002</v>
      </c>
      <c r="I782" s="14">
        <v>1</v>
      </c>
      <c r="J782" s="11">
        <f>I782*85</f>
        <v>85</v>
      </c>
      <c r="K782" s="11">
        <f>J782-H782</f>
        <v>82.190000057000006</v>
      </c>
      <c r="L782" s="10">
        <f>G782/F782</f>
        <v>9.2609742544915726E-5</v>
      </c>
      <c r="M782" s="14">
        <f>IFERROR(ROUND(I782/G782,2),0)</f>
        <v>0.5</v>
      </c>
      <c r="N782" s="11">
        <f>IFERROR(H782/G782,0)</f>
        <v>1.4049999715000001</v>
      </c>
      <c r="O782" s="11">
        <f>IFERROR(H782/I782,0)</f>
        <v>2.8099999430000002</v>
      </c>
      <c r="P782" s="11">
        <f>IFERROR((J782-H782)/H782,0)</f>
        <v>29.249110933878761</v>
      </c>
    </row>
    <row r="783" spans="1:16">
      <c r="A783">
        <v>776553</v>
      </c>
      <c r="B783" t="s">
        <v>161</v>
      </c>
      <c r="C783" t="s">
        <v>0</v>
      </c>
      <c r="D783" t="s">
        <v>5</v>
      </c>
      <c r="E783" s="14">
        <v>16</v>
      </c>
      <c r="F783" s="14">
        <v>66765</v>
      </c>
      <c r="G783" s="14">
        <v>8</v>
      </c>
      <c r="H783" s="13">
        <v>11.04999971</v>
      </c>
      <c r="I783" s="14">
        <v>1</v>
      </c>
      <c r="J783" s="11">
        <f>I783*85</f>
        <v>85</v>
      </c>
      <c r="K783" s="11">
        <f>J783-H783</f>
        <v>73.950000290000006</v>
      </c>
      <c r="L783" s="10">
        <f>G783/F783</f>
        <v>1.1982326069048154E-4</v>
      </c>
      <c r="M783" s="14">
        <f>IFERROR(ROUND(I783/G783,2),0)</f>
        <v>0.13</v>
      </c>
      <c r="N783" s="11">
        <f>IFERROR(H783/G783,0)</f>
        <v>1.38124996375</v>
      </c>
      <c r="O783" s="11">
        <f>IFERROR(H783/I783,0)</f>
        <v>11.04999971</v>
      </c>
      <c r="P783" s="11">
        <f>IFERROR((J783-H783)/H783,0)</f>
        <v>6.6923078941872669</v>
      </c>
    </row>
    <row r="784" spans="1:16">
      <c r="A784">
        <v>776579</v>
      </c>
      <c r="B784" t="s">
        <v>161</v>
      </c>
      <c r="C784" t="s">
        <v>0</v>
      </c>
      <c r="D784" t="s">
        <v>5</v>
      </c>
      <c r="E784" s="14">
        <v>10</v>
      </c>
      <c r="F784" s="14">
        <v>26910</v>
      </c>
      <c r="G784" s="14">
        <v>5</v>
      </c>
      <c r="H784" s="13">
        <v>7.2299997810000001</v>
      </c>
      <c r="I784" s="14">
        <v>1</v>
      </c>
      <c r="J784" s="11">
        <f>I784*85</f>
        <v>85</v>
      </c>
      <c r="K784" s="11">
        <f>J784-H784</f>
        <v>77.770000218999996</v>
      </c>
      <c r="L784" s="10">
        <f>G784/F784</f>
        <v>1.8580453363062059E-4</v>
      </c>
      <c r="M784" s="14">
        <f>IFERROR(ROUND(I784/G784,2),0)</f>
        <v>0.2</v>
      </c>
      <c r="N784" s="11">
        <f>IFERROR(H784/G784,0)</f>
        <v>1.4459999562000001</v>
      </c>
      <c r="O784" s="11">
        <f>IFERROR(H784/I784,0)</f>
        <v>7.2299997810000001</v>
      </c>
      <c r="P784" s="11">
        <f>IFERROR((J784-H784)/H784,0)</f>
        <v>10.756570203968032</v>
      </c>
    </row>
    <row r="785" spans="1:16">
      <c r="A785">
        <v>776615</v>
      </c>
      <c r="B785" t="s">
        <v>161</v>
      </c>
      <c r="C785" t="s">
        <v>4</v>
      </c>
      <c r="D785" t="s">
        <v>1</v>
      </c>
      <c r="E785" s="14">
        <v>63</v>
      </c>
      <c r="F785" s="14">
        <v>11988</v>
      </c>
      <c r="G785" s="14">
        <v>3</v>
      </c>
      <c r="H785" s="13">
        <v>4.2699998619999997</v>
      </c>
      <c r="I785" s="14">
        <v>1</v>
      </c>
      <c r="J785" s="11">
        <f>I785*85</f>
        <v>85</v>
      </c>
      <c r="K785" s="11">
        <f>J785-H785</f>
        <v>80.730000137999994</v>
      </c>
      <c r="L785" s="10">
        <f>G785/F785</f>
        <v>2.5025025025025025E-4</v>
      </c>
      <c r="M785" s="14">
        <f>IFERROR(ROUND(I785/G785,2),0)</f>
        <v>0.33</v>
      </c>
      <c r="N785" s="11">
        <f>IFERROR(H785/G785,0)</f>
        <v>1.4233332873333333</v>
      </c>
      <c r="O785" s="11">
        <f>IFERROR(H785/I785,0)</f>
        <v>4.2699998619999997</v>
      </c>
      <c r="P785" s="11">
        <f>IFERROR((J785-H785)/H785,0)</f>
        <v>18.90632382835426</v>
      </c>
    </row>
    <row r="786" spans="1:16">
      <c r="A786">
        <v>776631</v>
      </c>
      <c r="B786" t="s">
        <v>161</v>
      </c>
      <c r="C786" t="s">
        <v>3</v>
      </c>
      <c r="D786" t="s">
        <v>1</v>
      </c>
      <c r="E786" s="14">
        <v>29</v>
      </c>
      <c r="F786" s="14">
        <v>10960</v>
      </c>
      <c r="G786" s="14">
        <v>2</v>
      </c>
      <c r="H786" s="13">
        <v>2.8900001049999999</v>
      </c>
      <c r="I786" s="14">
        <v>1</v>
      </c>
      <c r="J786" s="11">
        <f>I786*85</f>
        <v>85</v>
      </c>
      <c r="K786" s="11">
        <f>J786-H786</f>
        <v>82.109999895000001</v>
      </c>
      <c r="L786" s="10">
        <f>G786/F786</f>
        <v>1.8248175182481751E-4</v>
      </c>
      <c r="M786" s="14">
        <f>IFERROR(ROUND(I786/G786,2),0)</f>
        <v>0.5</v>
      </c>
      <c r="N786" s="11">
        <f>IFERROR(H786/G786,0)</f>
        <v>1.4450000525</v>
      </c>
      <c r="O786" s="11">
        <f>IFERROR(H786/I786,0)</f>
        <v>2.8900001049999999</v>
      </c>
      <c r="P786" s="11">
        <f>IFERROR((J786-H786)/H786,0)</f>
        <v>28.411763637288864</v>
      </c>
    </row>
    <row r="787" spans="1:16">
      <c r="A787">
        <v>776661</v>
      </c>
      <c r="B787" t="s">
        <v>161</v>
      </c>
      <c r="C787" t="s">
        <v>0</v>
      </c>
      <c r="D787" t="s">
        <v>1</v>
      </c>
      <c r="E787" s="14">
        <v>16</v>
      </c>
      <c r="F787" s="14">
        <v>15466</v>
      </c>
      <c r="G787" s="14">
        <v>1</v>
      </c>
      <c r="H787" s="13">
        <v>0.97000002900000004</v>
      </c>
      <c r="I787" s="14">
        <v>1</v>
      </c>
      <c r="J787" s="11">
        <f>I787*85</f>
        <v>85</v>
      </c>
      <c r="K787" s="11">
        <f>J787-H787</f>
        <v>84.029999970999995</v>
      </c>
      <c r="L787" s="10">
        <f>G787/F787</f>
        <v>6.4657959394801506E-5</v>
      </c>
      <c r="M787" s="14">
        <f>IFERROR(ROUND(I787/G787,2),0)</f>
        <v>1</v>
      </c>
      <c r="N787" s="11">
        <f>IFERROR(H787/G787,0)</f>
        <v>0.97000002900000004</v>
      </c>
      <c r="O787" s="11">
        <f>IFERROR(H787/I787,0)</f>
        <v>0.97000002900000004</v>
      </c>
      <c r="P787" s="11">
        <f>IFERROR((J787-H787)/H787,0)</f>
        <v>86.628863359549442</v>
      </c>
    </row>
    <row r="788" spans="1:16">
      <c r="A788">
        <v>776662</v>
      </c>
      <c r="B788" t="s">
        <v>161</v>
      </c>
      <c r="C788" t="s">
        <v>0</v>
      </c>
      <c r="D788" t="s">
        <v>1</v>
      </c>
      <c r="E788" s="14">
        <v>16</v>
      </c>
      <c r="F788" s="14">
        <v>27072</v>
      </c>
      <c r="G788" s="14">
        <v>3</v>
      </c>
      <c r="H788" s="13">
        <v>4.3700000049999996</v>
      </c>
      <c r="I788" s="14">
        <v>1</v>
      </c>
      <c r="J788" s="11">
        <f>I788*85</f>
        <v>85</v>
      </c>
      <c r="K788" s="11">
        <f>J788-H788</f>
        <v>80.629999995000006</v>
      </c>
      <c r="L788" s="10">
        <f>G788/F788</f>
        <v>1.1081560283687943E-4</v>
      </c>
      <c r="M788" s="14">
        <f>IFERROR(ROUND(I788/G788,2),0)</f>
        <v>0.33</v>
      </c>
      <c r="N788" s="11">
        <f>IFERROR(H788/G788,0)</f>
        <v>1.4566666683333331</v>
      </c>
      <c r="O788" s="11">
        <f>IFERROR(H788/I788,0)</f>
        <v>4.3700000049999996</v>
      </c>
      <c r="P788" s="11">
        <f>IFERROR((J788-H788)/H788,0)</f>
        <v>18.450800893076888</v>
      </c>
    </row>
    <row r="789" spans="1:16">
      <c r="A789">
        <v>776686</v>
      </c>
      <c r="B789" t="s">
        <v>161</v>
      </c>
      <c r="C789" t="s">
        <v>3</v>
      </c>
      <c r="D789" t="s">
        <v>1</v>
      </c>
      <c r="E789" s="14">
        <v>16</v>
      </c>
      <c r="F789" s="14">
        <v>18709</v>
      </c>
      <c r="G789" s="14">
        <v>2</v>
      </c>
      <c r="H789" s="13">
        <v>3.3199999330000001</v>
      </c>
      <c r="I789" s="14">
        <v>1</v>
      </c>
      <c r="J789" s="11">
        <f>I789*85</f>
        <v>85</v>
      </c>
      <c r="K789" s="11">
        <f>J789-H789</f>
        <v>81.680000066999995</v>
      </c>
      <c r="L789" s="10">
        <f>G789/F789</f>
        <v>1.0690042225666791E-4</v>
      </c>
      <c r="M789" s="14">
        <f>IFERROR(ROUND(I789/G789,2),0)</f>
        <v>0.5</v>
      </c>
      <c r="N789" s="11">
        <f>IFERROR(H789/G789,0)</f>
        <v>1.6599999665</v>
      </c>
      <c r="O789" s="11">
        <f>IFERROR(H789/I789,0)</f>
        <v>3.3199999330000001</v>
      </c>
      <c r="P789" s="11">
        <f>IFERROR((J789-H789)/H789,0)</f>
        <v>24.602410155229361</v>
      </c>
    </row>
    <row r="790" spans="1:16">
      <c r="A790">
        <v>776725</v>
      </c>
      <c r="B790" t="s">
        <v>161</v>
      </c>
      <c r="C790" t="s">
        <v>3</v>
      </c>
      <c r="D790" t="s">
        <v>1</v>
      </c>
      <c r="E790" s="14">
        <v>23</v>
      </c>
      <c r="F790" s="14">
        <v>2479</v>
      </c>
      <c r="G790" s="14">
        <v>1</v>
      </c>
      <c r="H790" s="13">
        <v>1.2599999900000001</v>
      </c>
      <c r="I790" s="14">
        <v>1</v>
      </c>
      <c r="J790" s="11">
        <f>I790*85</f>
        <v>85</v>
      </c>
      <c r="K790" s="11">
        <f>J790-H790</f>
        <v>83.740000010000003</v>
      </c>
      <c r="L790" s="10">
        <f>G790/F790</f>
        <v>4.0338846308995562E-4</v>
      </c>
      <c r="M790" s="14">
        <f>IFERROR(ROUND(I790/G790,2),0)</f>
        <v>1</v>
      </c>
      <c r="N790" s="11">
        <f>IFERROR(H790/G790,0)</f>
        <v>1.2599999900000001</v>
      </c>
      <c r="O790" s="11">
        <f>IFERROR(H790/I790,0)</f>
        <v>1.2599999900000001</v>
      </c>
      <c r="P790" s="11">
        <f>IFERROR((J790-H790)/H790,0)</f>
        <v>66.460317995716807</v>
      </c>
    </row>
    <row r="791" spans="1:16">
      <c r="A791">
        <v>776780</v>
      </c>
      <c r="B791" t="s">
        <v>161</v>
      </c>
      <c r="C791" t="s">
        <v>3</v>
      </c>
      <c r="D791" t="s">
        <v>1</v>
      </c>
      <c r="E791" s="14">
        <v>2</v>
      </c>
      <c r="F791" s="14">
        <v>3812</v>
      </c>
      <c r="G791" s="14">
        <v>2</v>
      </c>
      <c r="H791" s="13">
        <v>3.0499999519999998</v>
      </c>
      <c r="I791" s="14">
        <v>1</v>
      </c>
      <c r="J791" s="11">
        <f>I791*85</f>
        <v>85</v>
      </c>
      <c r="K791" s="11">
        <f>J791-H791</f>
        <v>81.950000048000007</v>
      </c>
      <c r="L791" s="10">
        <f>G791/F791</f>
        <v>5.2465897166841555E-4</v>
      </c>
      <c r="M791" s="14">
        <f>IFERROR(ROUND(I791/G791,2),0)</f>
        <v>0.5</v>
      </c>
      <c r="N791" s="11">
        <f>IFERROR(H791/G791,0)</f>
        <v>1.5249999759999999</v>
      </c>
      <c r="O791" s="11">
        <f>IFERROR(H791/I791,0)</f>
        <v>3.0499999519999998</v>
      </c>
      <c r="P791" s="11">
        <f>IFERROR((J791-H791)/H791,0)</f>
        <v>26.868852897608182</v>
      </c>
    </row>
    <row r="792" spans="1:16">
      <c r="A792">
        <v>776817</v>
      </c>
      <c r="B792" t="s">
        <v>161</v>
      </c>
      <c r="C792" t="s">
        <v>3</v>
      </c>
      <c r="D792" t="s">
        <v>1</v>
      </c>
      <c r="E792" s="14">
        <v>10</v>
      </c>
      <c r="F792" s="14">
        <v>12356</v>
      </c>
      <c r="G792" s="14">
        <v>4</v>
      </c>
      <c r="H792" s="13">
        <v>6.2799999709999996</v>
      </c>
      <c r="I792" s="14">
        <v>1</v>
      </c>
      <c r="J792" s="11">
        <f>I792*85</f>
        <v>85</v>
      </c>
      <c r="K792" s="11">
        <f>J792-H792</f>
        <v>78.720000029000005</v>
      </c>
      <c r="L792" s="10">
        <f>G792/F792</f>
        <v>3.2372936225315638E-4</v>
      </c>
      <c r="M792" s="14">
        <f>IFERROR(ROUND(I792/G792,2),0)</f>
        <v>0.25</v>
      </c>
      <c r="N792" s="11">
        <f>IFERROR(H792/G792,0)</f>
        <v>1.5699999927499999</v>
      </c>
      <c r="O792" s="11">
        <f>IFERROR(H792/I792,0)</f>
        <v>6.2799999709999996</v>
      </c>
      <c r="P792" s="11">
        <f>IFERROR((J792-H792)/H792,0)</f>
        <v>12.535031909636295</v>
      </c>
    </row>
    <row r="793" spans="1:16">
      <c r="A793">
        <v>776825</v>
      </c>
      <c r="B793" t="s">
        <v>161</v>
      </c>
      <c r="C793" t="s">
        <v>4</v>
      </c>
      <c r="D793" t="s">
        <v>1</v>
      </c>
      <c r="E793" s="14">
        <v>18</v>
      </c>
      <c r="F793" s="14">
        <v>7410</v>
      </c>
      <c r="G793" s="14">
        <v>1</v>
      </c>
      <c r="H793" s="13">
        <v>1.210000038</v>
      </c>
      <c r="I793" s="14">
        <v>1</v>
      </c>
      <c r="J793" s="11">
        <f>I793*85</f>
        <v>85</v>
      </c>
      <c r="K793" s="11">
        <f>J793-H793</f>
        <v>83.789999961999996</v>
      </c>
      <c r="L793" s="10">
        <f>G793/F793</f>
        <v>1.3495276653171389E-4</v>
      </c>
      <c r="M793" s="14">
        <f>IFERROR(ROUND(I793/G793,2),0)</f>
        <v>1</v>
      </c>
      <c r="N793" s="11">
        <f>IFERROR(H793/G793,0)</f>
        <v>1.210000038</v>
      </c>
      <c r="O793" s="11">
        <f>IFERROR(H793/I793,0)</f>
        <v>1.210000038</v>
      </c>
      <c r="P793" s="11">
        <f>IFERROR((J793-H793)/H793,0)</f>
        <v>69.247931678164122</v>
      </c>
    </row>
    <row r="794" spans="1:16">
      <c r="A794">
        <v>776829</v>
      </c>
      <c r="B794" t="s">
        <v>161</v>
      </c>
      <c r="C794" t="s">
        <v>4</v>
      </c>
      <c r="D794" t="s">
        <v>1</v>
      </c>
      <c r="E794" s="14">
        <v>16</v>
      </c>
      <c r="F794" s="14">
        <v>140098</v>
      </c>
      <c r="G794" s="14">
        <v>28</v>
      </c>
      <c r="H794" s="13">
        <v>46.630000109999997</v>
      </c>
      <c r="I794" s="14">
        <v>1</v>
      </c>
      <c r="J794" s="11">
        <f>I794*85</f>
        <v>85</v>
      </c>
      <c r="K794" s="11">
        <f>J794-H794</f>
        <v>38.369999890000003</v>
      </c>
      <c r="L794" s="10">
        <f>G794/F794</f>
        <v>1.99860097931448E-4</v>
      </c>
      <c r="M794" s="14">
        <f>IFERROR(ROUND(I794/G794,2),0)</f>
        <v>0.04</v>
      </c>
      <c r="N794" s="11">
        <f>IFERROR(H794/G794,0)</f>
        <v>1.6653571467857142</v>
      </c>
      <c r="O794" s="11">
        <f>IFERROR(H794/I794,0)</f>
        <v>46.630000109999997</v>
      </c>
      <c r="P794" s="11">
        <f>IFERROR((J794-H794)/H794,0)</f>
        <v>0.82286081491497565</v>
      </c>
    </row>
    <row r="795" spans="1:16">
      <c r="A795">
        <v>776831</v>
      </c>
      <c r="B795" t="s">
        <v>161</v>
      </c>
      <c r="C795" t="s">
        <v>4</v>
      </c>
      <c r="D795" t="s">
        <v>1</v>
      </c>
      <c r="E795" s="14">
        <v>16</v>
      </c>
      <c r="F795" s="14">
        <v>107021</v>
      </c>
      <c r="G795" s="14">
        <v>20</v>
      </c>
      <c r="H795" s="13">
        <v>34.440000120000001</v>
      </c>
      <c r="I795" s="14">
        <v>1</v>
      </c>
      <c r="J795" s="11">
        <f>I795*85</f>
        <v>85</v>
      </c>
      <c r="K795" s="11">
        <f>J795-H795</f>
        <v>50.559999879999999</v>
      </c>
      <c r="L795" s="10">
        <f>G795/F795</f>
        <v>1.8687921062221434E-4</v>
      </c>
      <c r="M795" s="14">
        <f>IFERROR(ROUND(I795/G795,2),0)</f>
        <v>0.05</v>
      </c>
      <c r="N795" s="11">
        <f>IFERROR(H795/G795,0)</f>
        <v>1.722000006</v>
      </c>
      <c r="O795" s="11">
        <f>IFERROR(H795/I795,0)</f>
        <v>34.440000120000001</v>
      </c>
      <c r="P795" s="11">
        <f>IFERROR((J795-H795)/H795,0)</f>
        <v>1.4680603862901496</v>
      </c>
    </row>
    <row r="796" spans="1:16">
      <c r="A796">
        <v>776840</v>
      </c>
      <c r="B796" t="s">
        <v>161</v>
      </c>
      <c r="C796" t="s">
        <v>2</v>
      </c>
      <c r="D796" t="s">
        <v>1</v>
      </c>
      <c r="E796" s="14">
        <v>36</v>
      </c>
      <c r="F796" s="14">
        <v>2797</v>
      </c>
      <c r="G796" s="14">
        <v>1</v>
      </c>
      <c r="H796" s="13">
        <v>1.289999962</v>
      </c>
      <c r="I796" s="14">
        <v>1</v>
      </c>
      <c r="J796" s="11">
        <f>I796*85</f>
        <v>85</v>
      </c>
      <c r="K796" s="11">
        <f>J796-H796</f>
        <v>83.710000038000004</v>
      </c>
      <c r="L796" s="10">
        <f>G796/F796</f>
        <v>3.5752592062924561E-4</v>
      </c>
      <c r="M796" s="14">
        <f>IFERROR(ROUND(I796/G796,2),0)</f>
        <v>1</v>
      </c>
      <c r="N796" s="11">
        <f>IFERROR(H796/G796,0)</f>
        <v>1.289999962</v>
      </c>
      <c r="O796" s="11">
        <f>IFERROR(H796/I796,0)</f>
        <v>1.289999962</v>
      </c>
      <c r="P796" s="11">
        <f>IFERROR((J796-H796)/H796,0)</f>
        <v>64.891474809206244</v>
      </c>
    </row>
    <row r="797" spans="1:16">
      <c r="A797">
        <v>776861</v>
      </c>
      <c r="B797" t="s">
        <v>161</v>
      </c>
      <c r="C797" t="s">
        <v>4</v>
      </c>
      <c r="D797" t="s">
        <v>1</v>
      </c>
      <c r="E797" s="14">
        <v>7</v>
      </c>
      <c r="F797" s="14">
        <v>16461</v>
      </c>
      <c r="G797" s="14">
        <v>6</v>
      </c>
      <c r="H797" s="13">
        <v>9.2199997899999993</v>
      </c>
      <c r="I797" s="14">
        <v>1</v>
      </c>
      <c r="J797" s="11">
        <f>I797*85</f>
        <v>85</v>
      </c>
      <c r="K797" s="11">
        <f>J797-H797</f>
        <v>75.780000209999997</v>
      </c>
      <c r="L797" s="10">
        <f>G797/F797</f>
        <v>3.6449790413705123E-4</v>
      </c>
      <c r="M797" s="14">
        <f>IFERROR(ROUND(I797/G797,2),0)</f>
        <v>0.17</v>
      </c>
      <c r="N797" s="11">
        <f>IFERROR(H797/G797,0)</f>
        <v>1.5366666316666666</v>
      </c>
      <c r="O797" s="11">
        <f>IFERROR(H797/I797,0)</f>
        <v>9.2199997899999993</v>
      </c>
      <c r="P797" s="11">
        <f>IFERROR((J797-H797)/H797,0)</f>
        <v>8.2190891470725305</v>
      </c>
    </row>
    <row r="798" spans="1:16">
      <c r="A798">
        <v>776892</v>
      </c>
      <c r="B798" t="s">
        <v>161</v>
      </c>
      <c r="C798" t="s">
        <v>3</v>
      </c>
      <c r="D798" t="s">
        <v>1</v>
      </c>
      <c r="E798" s="14">
        <v>63</v>
      </c>
      <c r="F798" s="14">
        <v>17488</v>
      </c>
      <c r="G798" s="14">
        <v>5</v>
      </c>
      <c r="H798" s="13">
        <v>7.7199999090000002</v>
      </c>
      <c r="I798" s="14">
        <v>1</v>
      </c>
      <c r="J798" s="11">
        <f>I798*85</f>
        <v>85</v>
      </c>
      <c r="K798" s="11">
        <f>J798-H798</f>
        <v>77.280000091000005</v>
      </c>
      <c r="L798" s="10">
        <f>G798/F798</f>
        <v>2.8591033851784083E-4</v>
      </c>
      <c r="M798" s="14">
        <f>IFERROR(ROUND(I798/G798,2),0)</f>
        <v>0.2</v>
      </c>
      <c r="N798" s="11">
        <f>IFERROR(H798/G798,0)</f>
        <v>1.5439999818000001</v>
      </c>
      <c r="O798" s="11">
        <f>IFERROR(H798/I798,0)</f>
        <v>7.7199999090000002</v>
      </c>
      <c r="P798" s="11">
        <f>IFERROR((J798-H798)/H798,0)</f>
        <v>10.010362824085883</v>
      </c>
    </row>
    <row r="799" spans="1:16">
      <c r="A799">
        <v>777198</v>
      </c>
      <c r="B799" t="s">
        <v>161</v>
      </c>
      <c r="C799" t="s">
        <v>0</v>
      </c>
      <c r="D799" t="s">
        <v>1</v>
      </c>
      <c r="E799" s="14">
        <v>64</v>
      </c>
      <c r="F799" s="14">
        <v>12729</v>
      </c>
      <c r="G799" s="14">
        <v>4</v>
      </c>
      <c r="H799" s="13">
        <v>5.7799998520000004</v>
      </c>
      <c r="I799" s="14">
        <v>1</v>
      </c>
      <c r="J799" s="11">
        <f>I799*85</f>
        <v>85</v>
      </c>
      <c r="K799" s="11">
        <f>J799-H799</f>
        <v>79.220000147999997</v>
      </c>
      <c r="L799" s="10">
        <f>G799/F799</f>
        <v>3.1424306701233402E-4</v>
      </c>
      <c r="M799" s="14">
        <f>IFERROR(ROUND(I799/G799,2),0)</f>
        <v>0.25</v>
      </c>
      <c r="N799" s="11">
        <f>IFERROR(H799/G799,0)</f>
        <v>1.4449999630000001</v>
      </c>
      <c r="O799" s="11">
        <f>IFERROR(H799/I799,0)</f>
        <v>5.7799998520000004</v>
      </c>
      <c r="P799" s="11">
        <f>IFERROR((J799-H799)/H799,0)</f>
        <v>13.70588272949319</v>
      </c>
    </row>
    <row r="800" spans="1:16">
      <c r="A800">
        <v>777248</v>
      </c>
      <c r="B800" t="s">
        <v>161</v>
      </c>
      <c r="C800" t="s">
        <v>0</v>
      </c>
      <c r="D800" t="s">
        <v>5</v>
      </c>
      <c r="E800" s="14">
        <v>7</v>
      </c>
      <c r="F800" s="14">
        <v>3989</v>
      </c>
      <c r="G800" s="14">
        <v>1</v>
      </c>
      <c r="H800" s="13">
        <v>1.2799999710000001</v>
      </c>
      <c r="I800" s="14">
        <v>1</v>
      </c>
      <c r="J800" s="11">
        <f>I800*85</f>
        <v>85</v>
      </c>
      <c r="K800" s="11">
        <f>J800-H800</f>
        <v>83.720000029000005</v>
      </c>
      <c r="L800" s="10">
        <f>G800/F800</f>
        <v>2.5068939583855601E-4</v>
      </c>
      <c r="M800" s="14">
        <f>IFERROR(ROUND(I800/G800,2),0)</f>
        <v>1</v>
      </c>
      <c r="N800" s="11">
        <f>IFERROR(H800/G800,0)</f>
        <v>1.2799999710000001</v>
      </c>
      <c r="O800" s="11">
        <f>IFERROR(H800/I800,0)</f>
        <v>1.2799999710000001</v>
      </c>
      <c r="P800" s="11">
        <f>IFERROR((J800-H800)/H800,0)</f>
        <v>65.406251504516632</v>
      </c>
    </row>
    <row r="801" spans="1:16">
      <c r="A801">
        <v>777382</v>
      </c>
      <c r="B801" t="s">
        <v>161</v>
      </c>
      <c r="C801" t="s">
        <v>3</v>
      </c>
      <c r="D801" t="s">
        <v>1</v>
      </c>
      <c r="E801" s="14">
        <v>24</v>
      </c>
      <c r="F801" s="14">
        <v>3047</v>
      </c>
      <c r="G801" s="14">
        <v>1</v>
      </c>
      <c r="H801" s="13">
        <v>1.3799999949999999</v>
      </c>
      <c r="I801" s="14">
        <v>1</v>
      </c>
      <c r="J801" s="11">
        <f>I801*85</f>
        <v>85</v>
      </c>
      <c r="K801" s="11">
        <f>J801-H801</f>
        <v>83.620000004999994</v>
      </c>
      <c r="L801" s="10">
        <f>G801/F801</f>
        <v>3.2819166393173612E-4</v>
      </c>
      <c r="M801" s="14">
        <f>IFERROR(ROUND(I801/G801,2),0)</f>
        <v>1</v>
      </c>
      <c r="N801" s="11">
        <f>IFERROR(H801/G801,0)</f>
        <v>1.3799999949999999</v>
      </c>
      <c r="O801" s="11">
        <f>IFERROR(H801/I801,0)</f>
        <v>1.3799999949999999</v>
      </c>
      <c r="P801" s="11">
        <f>IFERROR((J801-H801)/H801,0)</f>
        <v>60.594203121718124</v>
      </c>
    </row>
    <row r="802" spans="1:16">
      <c r="A802">
        <v>777519</v>
      </c>
      <c r="B802" t="s">
        <v>161</v>
      </c>
      <c r="C802" t="s">
        <v>4</v>
      </c>
      <c r="D802" t="s">
        <v>1</v>
      </c>
      <c r="E802" s="14">
        <v>29</v>
      </c>
      <c r="F802" s="14">
        <v>19537</v>
      </c>
      <c r="G802" s="14">
        <v>5</v>
      </c>
      <c r="H802" s="13">
        <v>6.0999999049999998</v>
      </c>
      <c r="I802" s="14">
        <v>1</v>
      </c>
      <c r="J802" s="11">
        <f>I802*85</f>
        <v>85</v>
      </c>
      <c r="K802" s="11">
        <f>J802-H802</f>
        <v>78.900000094999996</v>
      </c>
      <c r="L802" s="10">
        <f>G802/F802</f>
        <v>2.5592465578133796E-4</v>
      </c>
      <c r="M802" s="14">
        <f>IFERROR(ROUND(I802/G802,2),0)</f>
        <v>0.2</v>
      </c>
      <c r="N802" s="11">
        <f>IFERROR(H802/G802,0)</f>
        <v>1.219999981</v>
      </c>
      <c r="O802" s="11">
        <f>IFERROR(H802/I802,0)</f>
        <v>6.0999999049999998</v>
      </c>
      <c r="P802" s="11">
        <f>IFERROR((J802-H802)/H802,0)</f>
        <v>12.934426446519756</v>
      </c>
    </row>
    <row r="803" spans="1:16">
      <c r="A803">
        <v>777670</v>
      </c>
      <c r="B803" t="s">
        <v>161</v>
      </c>
      <c r="C803" t="s">
        <v>3</v>
      </c>
      <c r="D803" t="s">
        <v>1</v>
      </c>
      <c r="E803" s="14">
        <v>16</v>
      </c>
      <c r="F803" s="14">
        <v>23769</v>
      </c>
      <c r="G803" s="14">
        <v>4</v>
      </c>
      <c r="H803" s="13">
        <v>6.0299998520000004</v>
      </c>
      <c r="I803" s="14">
        <v>1</v>
      </c>
      <c r="J803" s="11">
        <f>I803*85</f>
        <v>85</v>
      </c>
      <c r="K803" s="11">
        <f>J803-H803</f>
        <v>78.970000147999997</v>
      </c>
      <c r="L803" s="10">
        <f>G803/F803</f>
        <v>1.6828642349278473E-4</v>
      </c>
      <c r="M803" s="14">
        <f>IFERROR(ROUND(I803/G803,2),0)</f>
        <v>0.25</v>
      </c>
      <c r="N803" s="11">
        <f>IFERROR(H803/G803,0)</f>
        <v>1.5074999630000001</v>
      </c>
      <c r="O803" s="11">
        <f>IFERROR(H803/I803,0)</f>
        <v>6.0299998520000004</v>
      </c>
      <c r="P803" s="11">
        <f>IFERROR((J803-H803)/H803,0)</f>
        <v>13.096186083952825</v>
      </c>
    </row>
    <row r="804" spans="1:16">
      <c r="A804">
        <v>777871</v>
      </c>
      <c r="B804" t="s">
        <v>161</v>
      </c>
      <c r="C804" t="s">
        <v>0</v>
      </c>
      <c r="D804" t="s">
        <v>1</v>
      </c>
      <c r="E804" s="14">
        <v>20</v>
      </c>
      <c r="F804" s="14">
        <v>4616</v>
      </c>
      <c r="G804" s="14">
        <v>1</v>
      </c>
      <c r="H804" s="13">
        <v>1.3600000139999999</v>
      </c>
      <c r="I804" s="14">
        <v>1</v>
      </c>
      <c r="J804" s="11">
        <f>I804*85</f>
        <v>85</v>
      </c>
      <c r="K804" s="11">
        <f>J804-H804</f>
        <v>83.639999986000007</v>
      </c>
      <c r="L804" s="10">
        <f>G804/F804</f>
        <v>2.1663778162911611E-4</v>
      </c>
      <c r="M804" s="14">
        <f>IFERROR(ROUND(I804/G804,2),0)</f>
        <v>1</v>
      </c>
      <c r="N804" s="11">
        <f>IFERROR(H804/G804,0)</f>
        <v>1.3600000139999999</v>
      </c>
      <c r="O804" s="11">
        <f>IFERROR(H804/I804,0)</f>
        <v>1.3600000139999999</v>
      </c>
      <c r="P804" s="11">
        <f>IFERROR((J804-H804)/H804,0)</f>
        <v>61.499999356617664</v>
      </c>
    </row>
    <row r="805" spans="1:16">
      <c r="A805">
        <v>778037</v>
      </c>
      <c r="B805" t="s">
        <v>161</v>
      </c>
      <c r="C805" t="s">
        <v>2</v>
      </c>
      <c r="D805" t="s">
        <v>1</v>
      </c>
      <c r="E805" s="14">
        <v>27</v>
      </c>
      <c r="F805" s="14">
        <v>14615</v>
      </c>
      <c r="G805" s="14">
        <v>4</v>
      </c>
      <c r="H805" s="13">
        <v>6.0500001909999996</v>
      </c>
      <c r="I805" s="14">
        <v>1</v>
      </c>
      <c r="J805" s="11">
        <f>I805*85</f>
        <v>85</v>
      </c>
      <c r="K805" s="11">
        <f>J805-H805</f>
        <v>78.949999809000005</v>
      </c>
      <c r="L805" s="10">
        <f>G805/F805</f>
        <v>2.7369141293191924E-4</v>
      </c>
      <c r="M805" s="14">
        <f>IFERROR(ROUND(I805/G805,2),0)</f>
        <v>0.25</v>
      </c>
      <c r="N805" s="11">
        <f>IFERROR(H805/G805,0)</f>
        <v>1.5125000477499999</v>
      </c>
      <c r="O805" s="11">
        <f>IFERROR(H805/I805,0)</f>
        <v>6.0500001909999996</v>
      </c>
      <c r="P805" s="11">
        <f>IFERROR((J805-H805)/H805,0)</f>
        <v>13.049586333310582</v>
      </c>
    </row>
    <row r="806" spans="1:16">
      <c r="A806">
        <v>778087</v>
      </c>
      <c r="B806" t="s">
        <v>161</v>
      </c>
      <c r="C806" t="s">
        <v>0</v>
      </c>
      <c r="D806" t="s">
        <v>1</v>
      </c>
      <c r="E806" s="14">
        <v>26</v>
      </c>
      <c r="F806" s="14">
        <v>15910</v>
      </c>
      <c r="G806" s="14">
        <v>5</v>
      </c>
      <c r="H806" s="13">
        <v>6.7799998520000004</v>
      </c>
      <c r="I806" s="14">
        <v>1</v>
      </c>
      <c r="J806" s="11">
        <f>I806*85</f>
        <v>85</v>
      </c>
      <c r="K806" s="11">
        <f>J806-H806</f>
        <v>78.220000147999997</v>
      </c>
      <c r="L806" s="10">
        <f>G806/F806</f>
        <v>3.1426775612822125E-4</v>
      </c>
      <c r="M806" s="14">
        <f>IFERROR(ROUND(I806/G806,2),0)</f>
        <v>0.2</v>
      </c>
      <c r="N806" s="11">
        <f>IFERROR(H806/G806,0)</f>
        <v>1.3559999704000001</v>
      </c>
      <c r="O806" s="11">
        <f>IFERROR(H806/I806,0)</f>
        <v>6.7799998520000004</v>
      </c>
      <c r="P806" s="11">
        <f>IFERROR((J806-H806)/H806,0)</f>
        <v>11.536873430008445</v>
      </c>
    </row>
    <row r="807" spans="1:16">
      <c r="A807">
        <v>778156</v>
      </c>
      <c r="B807" t="s">
        <v>161</v>
      </c>
      <c r="C807" t="s">
        <v>0</v>
      </c>
      <c r="D807" t="s">
        <v>1</v>
      </c>
      <c r="E807" s="14">
        <v>28</v>
      </c>
      <c r="F807" s="14">
        <v>9388</v>
      </c>
      <c r="G807" s="14">
        <v>2</v>
      </c>
      <c r="H807" s="13">
        <v>3.1400001049999999</v>
      </c>
      <c r="I807" s="14">
        <v>1</v>
      </c>
      <c r="J807" s="11">
        <f>I807*85</f>
        <v>85</v>
      </c>
      <c r="K807" s="11">
        <f>J807-H807</f>
        <v>81.859999895000001</v>
      </c>
      <c r="L807" s="10">
        <f>G807/F807</f>
        <v>2.1303792074989347E-4</v>
      </c>
      <c r="M807" s="14">
        <f>IFERROR(ROUND(I807/G807,2),0)</f>
        <v>0.5</v>
      </c>
      <c r="N807" s="11">
        <f>IFERROR(H807/G807,0)</f>
        <v>1.5700000525</v>
      </c>
      <c r="O807" s="11">
        <f>IFERROR(H807/I807,0)</f>
        <v>3.1400001049999999</v>
      </c>
      <c r="P807" s="11">
        <f>IFERROR((J807-H807)/H807,0)</f>
        <v>26.070062789058412</v>
      </c>
    </row>
    <row r="808" spans="1:16">
      <c r="A808">
        <v>778264</v>
      </c>
      <c r="B808" t="s">
        <v>161</v>
      </c>
      <c r="C808" t="s">
        <v>3</v>
      </c>
      <c r="D808" t="s">
        <v>5</v>
      </c>
      <c r="E808" s="14">
        <v>27</v>
      </c>
      <c r="F808" s="14">
        <v>8152</v>
      </c>
      <c r="G808" s="14">
        <v>1</v>
      </c>
      <c r="H808" s="13">
        <v>0.99000001000000004</v>
      </c>
      <c r="I808" s="14">
        <v>1</v>
      </c>
      <c r="J808" s="11">
        <f>I808*85</f>
        <v>85</v>
      </c>
      <c r="K808" s="11">
        <f>J808-H808</f>
        <v>84.009999989999997</v>
      </c>
      <c r="L808" s="10">
        <f>G808/F808</f>
        <v>1.226692836113837E-4</v>
      </c>
      <c r="M808" s="14">
        <f>IFERROR(ROUND(I808/G808,2),0)</f>
        <v>1</v>
      </c>
      <c r="N808" s="11">
        <f>IFERROR(H808/G808,0)</f>
        <v>0.99000001000000004</v>
      </c>
      <c r="O808" s="11">
        <f>IFERROR(H808/I808,0)</f>
        <v>0.99000001000000004</v>
      </c>
      <c r="P808" s="11">
        <f>IFERROR((J808-H808)/H808,0)</f>
        <v>84.858584991327419</v>
      </c>
    </row>
    <row r="809" spans="1:16">
      <c r="A809">
        <v>778266</v>
      </c>
      <c r="B809" t="s">
        <v>161</v>
      </c>
      <c r="C809" t="s">
        <v>3</v>
      </c>
      <c r="D809" t="s">
        <v>5</v>
      </c>
      <c r="E809" s="14">
        <v>27</v>
      </c>
      <c r="F809" s="14">
        <v>74542</v>
      </c>
      <c r="G809" s="14">
        <v>19</v>
      </c>
      <c r="H809" s="13">
        <v>34.1500001</v>
      </c>
      <c r="I809" s="14">
        <v>1</v>
      </c>
      <c r="J809" s="11">
        <f>I809*85</f>
        <v>85</v>
      </c>
      <c r="K809" s="11">
        <f>J809-H809</f>
        <v>50.8499999</v>
      </c>
      <c r="L809" s="10">
        <f>G809/F809</f>
        <v>2.5488986074964447E-4</v>
      </c>
      <c r="M809" s="14">
        <f>IFERROR(ROUND(I809/G809,2),0)</f>
        <v>0.05</v>
      </c>
      <c r="N809" s="11">
        <f>IFERROR(H809/G809,0)</f>
        <v>1.7973684263157894</v>
      </c>
      <c r="O809" s="11">
        <f>IFERROR(H809/I809,0)</f>
        <v>34.1500001</v>
      </c>
      <c r="P809" s="11">
        <f>IFERROR((J809-H809)/H809,0)</f>
        <v>1.4890190263864742</v>
      </c>
    </row>
    <row r="810" spans="1:16">
      <c r="A810">
        <v>778421</v>
      </c>
      <c r="B810" t="s">
        <v>161</v>
      </c>
      <c r="C810" t="s">
        <v>3</v>
      </c>
      <c r="D810" t="s">
        <v>5</v>
      </c>
      <c r="E810" s="14">
        <v>20</v>
      </c>
      <c r="F810" s="14">
        <v>6699</v>
      </c>
      <c r="G810" s="14">
        <v>2</v>
      </c>
      <c r="H810" s="13">
        <v>3.0900000329999999</v>
      </c>
      <c r="I810" s="14">
        <v>1</v>
      </c>
      <c r="J810" s="11">
        <f>I810*85</f>
        <v>85</v>
      </c>
      <c r="K810" s="11">
        <f>J810-H810</f>
        <v>81.909999967000005</v>
      </c>
      <c r="L810" s="10">
        <f>G810/F810</f>
        <v>2.985520226899537E-4</v>
      </c>
      <c r="M810" s="14">
        <f>IFERROR(ROUND(I810/G810,2),0)</f>
        <v>0.5</v>
      </c>
      <c r="N810" s="11">
        <f>IFERROR(H810/G810,0)</f>
        <v>1.5450000165</v>
      </c>
      <c r="O810" s="11">
        <f>IFERROR(H810/I810,0)</f>
        <v>3.0900000329999999</v>
      </c>
      <c r="P810" s="11">
        <f>IFERROR((J810-H810)/H810,0)</f>
        <v>26.508090321111013</v>
      </c>
    </row>
    <row r="811" spans="1:16">
      <c r="A811">
        <v>778422</v>
      </c>
      <c r="B811" t="s">
        <v>161</v>
      </c>
      <c r="C811" t="s">
        <v>3</v>
      </c>
      <c r="D811" t="s">
        <v>5</v>
      </c>
      <c r="E811" s="14">
        <v>20</v>
      </c>
      <c r="F811" s="14">
        <v>11911</v>
      </c>
      <c r="G811" s="14">
        <v>4</v>
      </c>
      <c r="H811" s="13">
        <v>3.9599999189999999</v>
      </c>
      <c r="I811" s="14">
        <v>1</v>
      </c>
      <c r="J811" s="11">
        <f>I811*85</f>
        <v>85</v>
      </c>
      <c r="K811" s="11">
        <f>J811-H811</f>
        <v>81.040000081000002</v>
      </c>
      <c r="L811" s="10">
        <f>G811/F811</f>
        <v>3.3582402820921836E-4</v>
      </c>
      <c r="M811" s="14">
        <f>IFERROR(ROUND(I811/G811,2),0)</f>
        <v>0.25</v>
      </c>
      <c r="N811" s="11">
        <f>IFERROR(H811/G811,0)</f>
        <v>0.98999997974999998</v>
      </c>
      <c r="O811" s="11">
        <f>IFERROR(H811/I811,0)</f>
        <v>3.9599999189999999</v>
      </c>
      <c r="P811" s="11">
        <f>IFERROR((J811-H811)/H811,0)</f>
        <v>20.46464690369606</v>
      </c>
    </row>
    <row r="812" spans="1:16">
      <c r="A812">
        <v>778483</v>
      </c>
      <c r="B812" t="s">
        <v>161</v>
      </c>
      <c r="C812" t="s">
        <v>3</v>
      </c>
      <c r="D812" t="s">
        <v>5</v>
      </c>
      <c r="E812" s="14">
        <v>18</v>
      </c>
      <c r="F812" s="14">
        <v>24188</v>
      </c>
      <c r="G812" s="14">
        <v>5</v>
      </c>
      <c r="H812" s="13">
        <v>8.1799998279999997</v>
      </c>
      <c r="I812" s="14">
        <v>1</v>
      </c>
      <c r="J812" s="11">
        <f>I812*85</f>
        <v>85</v>
      </c>
      <c r="K812" s="11">
        <f>J812-H812</f>
        <v>76.820000171999993</v>
      </c>
      <c r="L812" s="10">
        <f>G812/F812</f>
        <v>2.0671407309409625E-4</v>
      </c>
      <c r="M812" s="14">
        <f>IFERROR(ROUND(I812/G812,2),0)</f>
        <v>0.2</v>
      </c>
      <c r="N812" s="11">
        <f>IFERROR(H812/G812,0)</f>
        <v>1.6359999655999999</v>
      </c>
      <c r="O812" s="11">
        <f>IFERROR(H812/I812,0)</f>
        <v>8.1799998279999997</v>
      </c>
      <c r="P812" s="11">
        <f>IFERROR((J812-H812)/H812,0)</f>
        <v>9.3911982625044121</v>
      </c>
    </row>
    <row r="813" spans="1:16">
      <c r="A813">
        <v>778600</v>
      </c>
      <c r="B813" t="s">
        <v>161</v>
      </c>
      <c r="C813" t="s">
        <v>3</v>
      </c>
      <c r="D813" t="s">
        <v>5</v>
      </c>
      <c r="E813" s="14">
        <v>22</v>
      </c>
      <c r="F813" s="14">
        <v>10750</v>
      </c>
      <c r="G813" s="14">
        <v>4</v>
      </c>
      <c r="H813" s="13">
        <v>5.3899998660000001</v>
      </c>
      <c r="I813" s="14">
        <v>1</v>
      </c>
      <c r="J813" s="11">
        <f>I813*85</f>
        <v>85</v>
      </c>
      <c r="K813" s="11">
        <f>J813-H813</f>
        <v>79.610000134000003</v>
      </c>
      <c r="L813" s="10">
        <f>G813/F813</f>
        <v>3.7209302325581393E-4</v>
      </c>
      <c r="M813" s="14">
        <f>IFERROR(ROUND(I813/G813,2),0)</f>
        <v>0.25</v>
      </c>
      <c r="N813" s="11">
        <f>IFERROR(H813/G813,0)</f>
        <v>1.3474999665</v>
      </c>
      <c r="O813" s="11">
        <f>IFERROR(H813/I813,0)</f>
        <v>5.3899998660000001</v>
      </c>
      <c r="P813" s="11">
        <f>IFERROR((J813-H813)/H813,0)</f>
        <v>14.769944733427197</v>
      </c>
    </row>
    <row r="814" spans="1:16">
      <c r="A814">
        <v>778722</v>
      </c>
      <c r="B814" t="s">
        <v>161</v>
      </c>
      <c r="C814" t="s">
        <v>2</v>
      </c>
      <c r="D814" t="s">
        <v>5</v>
      </c>
      <c r="E814" s="14">
        <v>64</v>
      </c>
      <c r="F814" s="14">
        <v>41785</v>
      </c>
      <c r="G814" s="14">
        <v>14</v>
      </c>
      <c r="H814" s="13">
        <v>19.100000380000001</v>
      </c>
      <c r="I814" s="14">
        <v>1</v>
      </c>
      <c r="J814" s="11">
        <f>I814*85</f>
        <v>85</v>
      </c>
      <c r="K814" s="11">
        <f>J814-H814</f>
        <v>65.899999620000003</v>
      </c>
      <c r="L814" s="10">
        <f>G814/F814</f>
        <v>3.3504846236687808E-4</v>
      </c>
      <c r="M814" s="14">
        <f>IFERROR(ROUND(I814/G814,2),0)</f>
        <v>7.0000000000000007E-2</v>
      </c>
      <c r="N814" s="11">
        <f>IFERROR(H814/G814,0)</f>
        <v>1.3642857414285714</v>
      </c>
      <c r="O814" s="11">
        <f>IFERROR(H814/I814,0)</f>
        <v>19.100000380000001</v>
      </c>
      <c r="P814" s="11">
        <f>IFERROR((J814-H814)/H814,0)</f>
        <v>3.450261691565474</v>
      </c>
    </row>
    <row r="815" spans="1:16">
      <c r="A815">
        <v>778756</v>
      </c>
      <c r="B815" t="s">
        <v>161</v>
      </c>
      <c r="C815" t="s">
        <v>2</v>
      </c>
      <c r="D815" t="s">
        <v>5</v>
      </c>
      <c r="E815" s="14">
        <v>63</v>
      </c>
      <c r="F815" s="14">
        <v>5602</v>
      </c>
      <c r="G815" s="14">
        <v>1</v>
      </c>
      <c r="H815" s="13">
        <v>1.5800000430000001</v>
      </c>
      <c r="I815" s="14">
        <v>1</v>
      </c>
      <c r="J815" s="11">
        <f>I815*85</f>
        <v>85</v>
      </c>
      <c r="K815" s="11">
        <f>J815-H815</f>
        <v>83.419999957000002</v>
      </c>
      <c r="L815" s="10">
        <f>G815/F815</f>
        <v>1.785076758300607E-4</v>
      </c>
      <c r="M815" s="14">
        <f>IFERROR(ROUND(I815/G815,2),0)</f>
        <v>1</v>
      </c>
      <c r="N815" s="11">
        <f>IFERROR(H815/G815,0)</f>
        <v>1.5800000430000001</v>
      </c>
      <c r="O815" s="11">
        <f>IFERROR(H815/I815,0)</f>
        <v>1.5800000430000001</v>
      </c>
      <c r="P815" s="11">
        <f>IFERROR((J815-H815)/H815,0)</f>
        <v>52.797466890322099</v>
      </c>
    </row>
    <row r="816" spans="1:16">
      <c r="A816">
        <v>778964</v>
      </c>
      <c r="B816" t="s">
        <v>161</v>
      </c>
      <c r="C816" t="s">
        <v>2</v>
      </c>
      <c r="D816" t="s">
        <v>5</v>
      </c>
      <c r="E816" s="14">
        <v>27</v>
      </c>
      <c r="F816" s="14">
        <v>112460</v>
      </c>
      <c r="G816" s="14">
        <v>25</v>
      </c>
      <c r="H816" s="13">
        <v>41.290000679999999</v>
      </c>
      <c r="I816" s="14">
        <v>1</v>
      </c>
      <c r="J816" s="11">
        <f>I816*85</f>
        <v>85</v>
      </c>
      <c r="K816" s="11">
        <f>J816-H816</f>
        <v>43.709999320000001</v>
      </c>
      <c r="L816" s="10">
        <f>G816/F816</f>
        <v>2.2230126267117198E-4</v>
      </c>
      <c r="M816" s="14">
        <f>IFERROR(ROUND(I816/G816,2),0)</f>
        <v>0.04</v>
      </c>
      <c r="N816" s="11">
        <f>IFERROR(H816/G816,0)</f>
        <v>1.6516000272</v>
      </c>
      <c r="O816" s="11">
        <f>IFERROR(H816/I816,0)</f>
        <v>41.290000679999999</v>
      </c>
      <c r="P816" s="11">
        <f>IFERROR((J816-H816)/H816,0)</f>
        <v>1.0586097989863246</v>
      </c>
    </row>
    <row r="817" spans="1:16">
      <c r="A817">
        <v>779106</v>
      </c>
      <c r="B817" t="s">
        <v>161</v>
      </c>
      <c r="C817" t="s">
        <v>2</v>
      </c>
      <c r="D817" t="s">
        <v>5</v>
      </c>
      <c r="E817" s="14">
        <v>30</v>
      </c>
      <c r="F817" s="14">
        <v>14670</v>
      </c>
      <c r="G817" s="14">
        <v>7</v>
      </c>
      <c r="H817" s="13">
        <v>9.4100003240000003</v>
      </c>
      <c r="I817" s="14">
        <v>1</v>
      </c>
      <c r="J817" s="11">
        <f>I817*85</f>
        <v>85</v>
      </c>
      <c r="K817" s="11">
        <f>J817-H817</f>
        <v>75.589999676000005</v>
      </c>
      <c r="L817" s="10">
        <f>G817/F817</f>
        <v>4.7716428084526244E-4</v>
      </c>
      <c r="M817" s="14">
        <f>IFERROR(ROUND(I817/G817,2),0)</f>
        <v>0.14000000000000001</v>
      </c>
      <c r="N817" s="11">
        <f>IFERROR(H817/G817,0)</f>
        <v>1.3442857605714287</v>
      </c>
      <c r="O817" s="11">
        <f>IFERROR(H817/I817,0)</f>
        <v>9.4100003240000003</v>
      </c>
      <c r="P817" s="11">
        <f>IFERROR((J817-H817)/H817,0)</f>
        <v>8.0329433659220353</v>
      </c>
    </row>
    <row r="818" spans="1:16">
      <c r="A818">
        <v>779438</v>
      </c>
      <c r="B818" t="s">
        <v>161</v>
      </c>
      <c r="C818" t="s">
        <v>0</v>
      </c>
      <c r="D818" t="s">
        <v>5</v>
      </c>
      <c r="E818" s="14">
        <v>64</v>
      </c>
      <c r="F818" s="14">
        <v>33144</v>
      </c>
      <c r="G818" s="14">
        <v>9</v>
      </c>
      <c r="H818" s="13">
        <v>13.40999985</v>
      </c>
      <c r="I818" s="14">
        <v>1</v>
      </c>
      <c r="J818" s="11">
        <f>I818*85</f>
        <v>85</v>
      </c>
      <c r="K818" s="11">
        <f>J818-H818</f>
        <v>71.590000149999995</v>
      </c>
      <c r="L818" s="10">
        <f>G818/F818</f>
        <v>2.715423606082549E-4</v>
      </c>
      <c r="M818" s="14">
        <f>IFERROR(ROUND(I818/G818,2),0)</f>
        <v>0.11</v>
      </c>
      <c r="N818" s="11">
        <f>IFERROR(H818/G818,0)</f>
        <v>1.4899999833333333</v>
      </c>
      <c r="O818" s="11">
        <f>IFERROR(H818/I818,0)</f>
        <v>13.40999985</v>
      </c>
      <c r="P818" s="11">
        <f>IFERROR((J818-H818)/H818,0)</f>
        <v>5.3385533893201345</v>
      </c>
    </row>
    <row r="819" spans="1:16">
      <c r="A819">
        <v>779453</v>
      </c>
      <c r="B819" t="s">
        <v>161</v>
      </c>
      <c r="C819" t="s">
        <v>4</v>
      </c>
      <c r="D819" t="s">
        <v>1</v>
      </c>
      <c r="E819" s="14">
        <v>64</v>
      </c>
      <c r="F819" s="14">
        <v>4397</v>
      </c>
      <c r="G819" s="14">
        <v>1</v>
      </c>
      <c r="H819" s="13">
        <v>0.94999998799999996</v>
      </c>
      <c r="I819" s="14">
        <v>1</v>
      </c>
      <c r="J819" s="11">
        <f>I819*85</f>
        <v>85</v>
      </c>
      <c r="K819" s="11">
        <f>J819-H819</f>
        <v>84.050000011999998</v>
      </c>
      <c r="L819" s="10">
        <f>G819/F819</f>
        <v>2.2742779167614282E-4</v>
      </c>
      <c r="M819" s="14">
        <f>IFERROR(ROUND(I819/G819,2),0)</f>
        <v>1</v>
      </c>
      <c r="N819" s="11">
        <f>IFERROR(H819/G819,0)</f>
        <v>0.94999998799999996</v>
      </c>
      <c r="O819" s="11">
        <f>IFERROR(H819/I819,0)</f>
        <v>0.94999998799999996</v>
      </c>
      <c r="P819" s="11">
        <f>IFERROR((J819-H819)/H819,0)</f>
        <v>88.473685340720237</v>
      </c>
    </row>
    <row r="820" spans="1:16">
      <c r="A820">
        <v>779573</v>
      </c>
      <c r="B820" t="s">
        <v>161</v>
      </c>
      <c r="C820" t="s">
        <v>2</v>
      </c>
      <c r="D820" t="s">
        <v>5</v>
      </c>
      <c r="E820" s="14">
        <v>10</v>
      </c>
      <c r="F820" s="14">
        <v>89527</v>
      </c>
      <c r="G820" s="14">
        <v>24</v>
      </c>
      <c r="H820" s="13">
        <v>32.289999960000003</v>
      </c>
      <c r="I820" s="14">
        <v>1</v>
      </c>
      <c r="J820" s="11">
        <f>I820*85</f>
        <v>85</v>
      </c>
      <c r="K820" s="11">
        <f>J820-H820</f>
        <v>52.710000039999997</v>
      </c>
      <c r="L820" s="10">
        <f>G820/F820</f>
        <v>2.6807555262658192E-4</v>
      </c>
      <c r="M820" s="14">
        <f>IFERROR(ROUND(I820/G820,2),0)</f>
        <v>0.04</v>
      </c>
      <c r="N820" s="11">
        <f>IFERROR(H820/G820,0)</f>
        <v>1.3454166650000001</v>
      </c>
      <c r="O820" s="11">
        <f>IFERROR(H820/I820,0)</f>
        <v>32.289999960000003</v>
      </c>
      <c r="P820" s="11">
        <f>IFERROR((J820-H820)/H820,0)</f>
        <v>1.6323939332702306</v>
      </c>
    </row>
    <row r="821" spans="1:16">
      <c r="A821">
        <v>779631</v>
      </c>
      <c r="B821" t="s">
        <v>161</v>
      </c>
      <c r="C821" t="s">
        <v>2</v>
      </c>
      <c r="D821" t="s">
        <v>5</v>
      </c>
      <c r="E821" s="14">
        <v>16</v>
      </c>
      <c r="F821" s="14">
        <v>9730</v>
      </c>
      <c r="G821" s="14">
        <v>1</v>
      </c>
      <c r="H821" s="13">
        <v>1.3799999949999999</v>
      </c>
      <c r="I821" s="14">
        <v>1</v>
      </c>
      <c r="J821" s="11">
        <f>I821*85</f>
        <v>85</v>
      </c>
      <c r="K821" s="11">
        <f>J821-H821</f>
        <v>83.620000004999994</v>
      </c>
      <c r="L821" s="10">
        <f>G821/F821</f>
        <v>1.0277492291880781E-4</v>
      </c>
      <c r="M821" s="14">
        <f>IFERROR(ROUND(I821/G821,2),0)</f>
        <v>1</v>
      </c>
      <c r="N821" s="11">
        <f>IFERROR(H821/G821,0)</f>
        <v>1.3799999949999999</v>
      </c>
      <c r="O821" s="11">
        <f>IFERROR(H821/I821,0)</f>
        <v>1.3799999949999999</v>
      </c>
      <c r="P821" s="11">
        <f>IFERROR((J821-H821)/H821,0)</f>
        <v>60.594203121718124</v>
      </c>
    </row>
    <row r="822" spans="1:16">
      <c r="A822">
        <v>779645</v>
      </c>
      <c r="B822" t="s">
        <v>161</v>
      </c>
      <c r="C822" t="s">
        <v>0</v>
      </c>
      <c r="D822" t="s">
        <v>5</v>
      </c>
      <c r="E822" s="14">
        <v>16</v>
      </c>
      <c r="F822" s="14">
        <v>27289</v>
      </c>
      <c r="G822" s="14">
        <v>3</v>
      </c>
      <c r="H822" s="13">
        <v>4.4299998279999997</v>
      </c>
      <c r="I822" s="14">
        <v>1</v>
      </c>
      <c r="J822" s="11">
        <f>I822*85</f>
        <v>85</v>
      </c>
      <c r="K822" s="11">
        <f>J822-H822</f>
        <v>80.570000171999993</v>
      </c>
      <c r="L822" s="10">
        <f>G822/F822</f>
        <v>1.0993440580453663E-4</v>
      </c>
      <c r="M822" s="14">
        <f>IFERROR(ROUND(I822/G822,2),0)</f>
        <v>0.33</v>
      </c>
      <c r="N822" s="11">
        <f>IFERROR(H822/G822,0)</f>
        <v>1.4766666093333332</v>
      </c>
      <c r="O822" s="11">
        <f>IFERROR(H822/I822,0)</f>
        <v>4.4299998279999997</v>
      </c>
      <c r="P822" s="11">
        <f>IFERROR((J822-H822)/H822,0)</f>
        <v>18.187359661450532</v>
      </c>
    </row>
    <row r="823" spans="1:16">
      <c r="A823">
        <v>779715</v>
      </c>
      <c r="B823" t="s">
        <v>161</v>
      </c>
      <c r="C823" t="s">
        <v>0</v>
      </c>
      <c r="D823" t="s">
        <v>5</v>
      </c>
      <c r="E823" s="14">
        <v>29</v>
      </c>
      <c r="F823" s="14">
        <v>20409</v>
      </c>
      <c r="G823" s="14">
        <v>4</v>
      </c>
      <c r="H823" s="13">
        <v>3.829999924</v>
      </c>
      <c r="I823" s="14">
        <v>1</v>
      </c>
      <c r="J823" s="11">
        <f>I823*85</f>
        <v>85</v>
      </c>
      <c r="K823" s="11">
        <f>J823-H823</f>
        <v>81.170000075999994</v>
      </c>
      <c r="L823" s="10">
        <f>G823/F823</f>
        <v>1.9599196432946249E-4</v>
      </c>
      <c r="M823" s="14">
        <f>IFERROR(ROUND(I823/G823,2),0)</f>
        <v>0.25</v>
      </c>
      <c r="N823" s="11">
        <f>IFERROR(H823/G823,0)</f>
        <v>0.957499981</v>
      </c>
      <c r="O823" s="11">
        <f>IFERROR(H823/I823,0)</f>
        <v>3.829999924</v>
      </c>
      <c r="P823" s="11">
        <f>IFERROR((J823-H823)/H823,0)</f>
        <v>21.193211928638146</v>
      </c>
    </row>
    <row r="824" spans="1:16">
      <c r="A824">
        <v>779716</v>
      </c>
      <c r="B824" t="s">
        <v>161</v>
      </c>
      <c r="C824" t="s">
        <v>0</v>
      </c>
      <c r="D824" t="s">
        <v>5</v>
      </c>
      <c r="E824" s="14">
        <v>29</v>
      </c>
      <c r="F824" s="14">
        <v>8044</v>
      </c>
      <c r="G824" s="14">
        <v>1</v>
      </c>
      <c r="H824" s="13">
        <v>1.1100000139999999</v>
      </c>
      <c r="I824" s="14">
        <v>1</v>
      </c>
      <c r="J824" s="11">
        <f>I824*85</f>
        <v>85</v>
      </c>
      <c r="K824" s="11">
        <f>J824-H824</f>
        <v>83.889999986000007</v>
      </c>
      <c r="L824" s="10">
        <f>G824/F824</f>
        <v>1.2431626056688214E-4</v>
      </c>
      <c r="M824" s="14">
        <f>IFERROR(ROUND(I824/G824,2),0)</f>
        <v>1</v>
      </c>
      <c r="N824" s="11">
        <f>IFERROR(H824/G824,0)</f>
        <v>1.1100000139999999</v>
      </c>
      <c r="O824" s="11">
        <f>IFERROR(H824/I824,0)</f>
        <v>1.1100000139999999</v>
      </c>
      <c r="P824" s="11">
        <f>IFERROR((J824-H824)/H824,0)</f>
        <v>75.576575610745905</v>
      </c>
    </row>
    <row r="825" spans="1:16">
      <c r="A825">
        <v>779738</v>
      </c>
      <c r="B825" t="s">
        <v>161</v>
      </c>
      <c r="C825" t="s">
        <v>0</v>
      </c>
      <c r="D825" t="s">
        <v>5</v>
      </c>
      <c r="E825" s="14">
        <v>28</v>
      </c>
      <c r="F825" s="14">
        <v>15645</v>
      </c>
      <c r="G825" s="14">
        <v>4</v>
      </c>
      <c r="H825" s="13">
        <v>5.3499999049999998</v>
      </c>
      <c r="I825" s="14">
        <v>1</v>
      </c>
      <c r="J825" s="11">
        <f>I825*85</f>
        <v>85</v>
      </c>
      <c r="K825" s="11">
        <f>J825-H825</f>
        <v>79.650000094999996</v>
      </c>
      <c r="L825" s="10">
        <f>G825/F825</f>
        <v>2.5567273889421543E-4</v>
      </c>
      <c r="M825" s="14">
        <f>IFERROR(ROUND(I825/G825,2),0)</f>
        <v>0.25</v>
      </c>
      <c r="N825" s="11">
        <f>IFERROR(H825/G825,0)</f>
        <v>1.3374999762499999</v>
      </c>
      <c r="O825" s="11">
        <f>IFERROR(H825/I825,0)</f>
        <v>5.3499999049999998</v>
      </c>
      <c r="P825" s="11">
        <f>IFERROR((J825-H825)/H825,0)</f>
        <v>14.887850749410434</v>
      </c>
    </row>
    <row r="826" spans="1:16">
      <c r="A826">
        <v>779824</v>
      </c>
      <c r="B826" t="s">
        <v>161</v>
      </c>
      <c r="C826" t="s">
        <v>4</v>
      </c>
      <c r="D826" t="s">
        <v>1</v>
      </c>
      <c r="E826" s="14">
        <v>7</v>
      </c>
      <c r="F826" s="14">
        <v>9375</v>
      </c>
      <c r="G826" s="14">
        <v>3</v>
      </c>
      <c r="H826" s="13">
        <v>4.0199999809999998</v>
      </c>
      <c r="I826" s="14">
        <v>1</v>
      </c>
      <c r="J826" s="11">
        <f>I826*85</f>
        <v>85</v>
      </c>
      <c r="K826" s="11">
        <f>J826-H826</f>
        <v>80.980000019000002</v>
      </c>
      <c r="L826" s="10">
        <f>G826/F826</f>
        <v>3.2000000000000003E-4</v>
      </c>
      <c r="M826" s="14">
        <f>IFERROR(ROUND(I826/G826,2),0)</f>
        <v>0.33</v>
      </c>
      <c r="N826" s="11">
        <f>IFERROR(H826/G826,0)</f>
        <v>1.3399999936666667</v>
      </c>
      <c r="O826" s="11">
        <f>IFERROR(H826/I826,0)</f>
        <v>4.0199999809999998</v>
      </c>
      <c r="P826" s="11">
        <f>IFERROR((J826-H826)/H826,0)</f>
        <v>20.14427870690082</v>
      </c>
    </row>
    <row r="827" spans="1:16">
      <c r="A827">
        <v>779918</v>
      </c>
      <c r="B827" t="s">
        <v>161</v>
      </c>
      <c r="C827" t="s">
        <v>0</v>
      </c>
      <c r="D827" t="s">
        <v>5</v>
      </c>
      <c r="E827" s="14">
        <v>18</v>
      </c>
      <c r="F827" s="14">
        <v>8469</v>
      </c>
      <c r="G827" s="14">
        <v>2</v>
      </c>
      <c r="H827" s="13">
        <v>3.0899999139999998</v>
      </c>
      <c r="I827" s="14">
        <v>1</v>
      </c>
      <c r="J827" s="11">
        <f>I827*85</f>
        <v>85</v>
      </c>
      <c r="K827" s="11">
        <f>J827-H827</f>
        <v>81.910000085999997</v>
      </c>
      <c r="L827" s="10">
        <f>G827/F827</f>
        <v>2.3615539024678239E-4</v>
      </c>
      <c r="M827" s="14">
        <f>IFERROR(ROUND(I827/G827,2),0)</f>
        <v>0.5</v>
      </c>
      <c r="N827" s="11">
        <f>IFERROR(H827/G827,0)</f>
        <v>1.5449999569999999</v>
      </c>
      <c r="O827" s="11">
        <f>IFERROR(H827/I827,0)</f>
        <v>3.0899999139999998</v>
      </c>
      <c r="P827" s="11">
        <f>IFERROR((J827-H827)/H827,0)</f>
        <v>26.508091380484096</v>
      </c>
    </row>
    <row r="828" spans="1:16">
      <c r="A828">
        <v>779979</v>
      </c>
      <c r="B828" t="s">
        <v>161</v>
      </c>
      <c r="C828" t="s">
        <v>2</v>
      </c>
      <c r="D828" t="s">
        <v>1</v>
      </c>
      <c r="E828" s="14">
        <v>16</v>
      </c>
      <c r="F828" s="14">
        <v>25817</v>
      </c>
      <c r="G828" s="14">
        <v>4</v>
      </c>
      <c r="H828" s="13">
        <v>6.0199999809999998</v>
      </c>
      <c r="I828" s="14">
        <v>1</v>
      </c>
      <c r="J828" s="11">
        <f>I828*85</f>
        <v>85</v>
      </c>
      <c r="K828" s="11">
        <f>J828-H828</f>
        <v>78.980000019000002</v>
      </c>
      <c r="L828" s="10">
        <f>G828/F828</f>
        <v>1.5493666963628617E-4</v>
      </c>
      <c r="M828" s="14">
        <f>IFERROR(ROUND(I828/G828,2),0)</f>
        <v>0.25</v>
      </c>
      <c r="N828" s="11">
        <f>IFERROR(H828/G828,0)</f>
        <v>1.5049999952499999</v>
      </c>
      <c r="O828" s="11">
        <f>IFERROR(H828/I828,0)</f>
        <v>6.0199999809999998</v>
      </c>
      <c r="P828" s="11">
        <f>IFERROR((J828-H828)/H828,0)</f>
        <v>13.119601373467182</v>
      </c>
    </row>
    <row r="829" spans="1:16">
      <c r="A829">
        <v>780323</v>
      </c>
      <c r="B829" t="s">
        <v>161</v>
      </c>
      <c r="C829" t="s">
        <v>4</v>
      </c>
      <c r="D829" t="s">
        <v>5</v>
      </c>
      <c r="E829" s="14">
        <v>29</v>
      </c>
      <c r="F829" s="14">
        <v>24542</v>
      </c>
      <c r="G829" s="14">
        <v>7</v>
      </c>
      <c r="H829" s="13">
        <v>9.3299999239999991</v>
      </c>
      <c r="I829" s="14">
        <v>1</v>
      </c>
      <c r="J829" s="11">
        <f>I829*85</f>
        <v>85</v>
      </c>
      <c r="K829" s="11">
        <f>J829-H829</f>
        <v>75.670000076000008</v>
      </c>
      <c r="L829" s="10">
        <f>G829/F829</f>
        <v>2.8522532800912719E-4</v>
      </c>
      <c r="M829" s="14">
        <f>IFERROR(ROUND(I829/G829,2),0)</f>
        <v>0.14000000000000001</v>
      </c>
      <c r="N829" s="11">
        <f>IFERROR(H829/G829,0)</f>
        <v>1.3328571319999998</v>
      </c>
      <c r="O829" s="11">
        <f>IFERROR(H829/I829,0)</f>
        <v>9.3299999239999991</v>
      </c>
      <c r="P829" s="11">
        <f>IFERROR((J829-H829)/H829,0)</f>
        <v>8.1103966444148075</v>
      </c>
    </row>
    <row r="830" spans="1:16">
      <c r="A830">
        <v>780498</v>
      </c>
      <c r="B830" t="s">
        <v>161</v>
      </c>
      <c r="C830" t="s">
        <v>0</v>
      </c>
      <c r="D830" t="s">
        <v>5</v>
      </c>
      <c r="E830" s="14">
        <v>64</v>
      </c>
      <c r="F830" s="14">
        <v>13621</v>
      </c>
      <c r="G830" s="14">
        <v>3</v>
      </c>
      <c r="H830" s="13">
        <v>4.0900000329999999</v>
      </c>
      <c r="I830" s="14">
        <v>1</v>
      </c>
      <c r="J830" s="11">
        <f>I830*85</f>
        <v>85</v>
      </c>
      <c r="K830" s="11">
        <f>J830-H830</f>
        <v>80.909999967000005</v>
      </c>
      <c r="L830" s="10">
        <f>G830/F830</f>
        <v>2.202481462447691E-4</v>
      </c>
      <c r="M830" s="14">
        <f>IFERROR(ROUND(I830/G830,2),0)</f>
        <v>0.33</v>
      </c>
      <c r="N830" s="11">
        <f>IFERROR(H830/G830,0)</f>
        <v>1.3633333443333333</v>
      </c>
      <c r="O830" s="11">
        <f>IFERROR(H830/I830,0)</f>
        <v>4.0900000329999999</v>
      </c>
      <c r="P830" s="11">
        <f>IFERROR((J830-H830)/H830,0)</f>
        <v>19.782395920337638</v>
      </c>
    </row>
    <row r="831" spans="1:16">
      <c r="A831">
        <v>780760</v>
      </c>
      <c r="B831" t="s">
        <v>161</v>
      </c>
      <c r="C831" t="s">
        <v>4</v>
      </c>
      <c r="D831" t="s">
        <v>5</v>
      </c>
      <c r="E831" s="14">
        <v>18</v>
      </c>
      <c r="F831" s="14">
        <v>17167</v>
      </c>
      <c r="G831" s="14">
        <v>5</v>
      </c>
      <c r="H831" s="13">
        <v>6.9100000860000002</v>
      </c>
      <c r="I831" s="14">
        <v>1</v>
      </c>
      <c r="J831" s="11">
        <f>I831*85</f>
        <v>85</v>
      </c>
      <c r="K831" s="11">
        <f>J831-H831</f>
        <v>78.089999914000003</v>
      </c>
      <c r="L831" s="10">
        <f>G831/F831</f>
        <v>2.9125648045669016E-4</v>
      </c>
      <c r="M831" s="14">
        <f>IFERROR(ROUND(I831/G831,2),0)</f>
        <v>0.2</v>
      </c>
      <c r="N831" s="11">
        <f>IFERROR(H831/G831,0)</f>
        <v>1.3820000172</v>
      </c>
      <c r="O831" s="11">
        <f>IFERROR(H831/I831,0)</f>
        <v>6.9100000860000002</v>
      </c>
      <c r="P831" s="11">
        <f>IFERROR((J831-H831)/H831,0)</f>
        <v>11.301012871506931</v>
      </c>
    </row>
    <row r="832" spans="1:16">
      <c r="A832">
        <v>780797</v>
      </c>
      <c r="B832" t="s">
        <v>161</v>
      </c>
      <c r="C832" t="s">
        <v>0</v>
      </c>
      <c r="D832" t="s">
        <v>5</v>
      </c>
      <c r="E832" s="14">
        <v>22</v>
      </c>
      <c r="F832" s="14">
        <v>24491</v>
      </c>
      <c r="G832" s="14">
        <v>7</v>
      </c>
      <c r="H832" s="13">
        <v>9.5399999619999996</v>
      </c>
      <c r="I832" s="14">
        <v>1</v>
      </c>
      <c r="J832" s="11">
        <f>I832*85</f>
        <v>85</v>
      </c>
      <c r="K832" s="11">
        <f>J832-H832</f>
        <v>75.460000038000004</v>
      </c>
      <c r="L832" s="10">
        <f>G832/F832</f>
        <v>2.8581928055203954E-4</v>
      </c>
      <c r="M832" s="14">
        <f>IFERROR(ROUND(I832/G832,2),0)</f>
        <v>0.14000000000000001</v>
      </c>
      <c r="N832" s="11">
        <f>IFERROR(H832/G832,0)</f>
        <v>1.3628571374285714</v>
      </c>
      <c r="O832" s="11">
        <f>IFERROR(H832/I832,0)</f>
        <v>9.5399999619999996</v>
      </c>
      <c r="P832" s="11">
        <f>IFERROR((J832-H832)/H832,0)</f>
        <v>7.9098532849658731</v>
      </c>
    </row>
    <row r="833" spans="1:16">
      <c r="A833">
        <v>780821</v>
      </c>
      <c r="B833" t="s">
        <v>161</v>
      </c>
      <c r="C833" t="s">
        <v>0</v>
      </c>
      <c r="D833" t="s">
        <v>5</v>
      </c>
      <c r="E833" s="14">
        <v>23</v>
      </c>
      <c r="F833" s="14">
        <v>6469</v>
      </c>
      <c r="G833" s="14">
        <v>2</v>
      </c>
      <c r="H833" s="13">
        <v>1.309999943</v>
      </c>
      <c r="I833" s="14">
        <v>1</v>
      </c>
      <c r="J833" s="11">
        <f>I833*85</f>
        <v>85</v>
      </c>
      <c r="K833" s="11">
        <f>J833-H833</f>
        <v>83.690000057000006</v>
      </c>
      <c r="L833" s="10">
        <f>G833/F833</f>
        <v>3.0916679548616477E-4</v>
      </c>
      <c r="M833" s="14">
        <f>IFERROR(ROUND(I833/G833,2),0)</f>
        <v>0.5</v>
      </c>
      <c r="N833" s="11">
        <f>IFERROR(H833/G833,0)</f>
        <v>0.6549999715</v>
      </c>
      <c r="O833" s="11">
        <f>IFERROR(H833/I833,0)</f>
        <v>1.309999943</v>
      </c>
      <c r="P833" s="11">
        <f>IFERROR((J833-H833)/H833,0)</f>
        <v>63.88549900646828</v>
      </c>
    </row>
    <row r="834" spans="1:16">
      <c r="A834">
        <v>780867</v>
      </c>
      <c r="B834" t="s">
        <v>161</v>
      </c>
      <c r="C834" t="s">
        <v>0</v>
      </c>
      <c r="D834" t="s">
        <v>5</v>
      </c>
      <c r="E834" s="14">
        <v>21</v>
      </c>
      <c r="F834" s="14">
        <v>4706</v>
      </c>
      <c r="G834" s="14">
        <v>1</v>
      </c>
      <c r="H834" s="13">
        <v>1.2200000289999999</v>
      </c>
      <c r="I834" s="14">
        <v>1</v>
      </c>
      <c r="J834" s="11">
        <f>I834*85</f>
        <v>85</v>
      </c>
      <c r="K834" s="11">
        <f>J834-H834</f>
        <v>83.779999970999995</v>
      </c>
      <c r="L834" s="10">
        <f>G834/F834</f>
        <v>2.1249468763280918E-4</v>
      </c>
      <c r="M834" s="14">
        <f>IFERROR(ROUND(I834/G834,2),0)</f>
        <v>1</v>
      </c>
      <c r="N834" s="11">
        <f>IFERROR(H834/G834,0)</f>
        <v>1.2200000289999999</v>
      </c>
      <c r="O834" s="11">
        <f>IFERROR(H834/I834,0)</f>
        <v>1.2200000289999999</v>
      </c>
      <c r="P834" s="11">
        <f>IFERROR((J834-H834)/H834,0)</f>
        <v>68.672129491400199</v>
      </c>
    </row>
    <row r="835" spans="1:16">
      <c r="A835">
        <v>781066</v>
      </c>
      <c r="B835" t="s">
        <v>161</v>
      </c>
      <c r="C835" t="s">
        <v>3</v>
      </c>
      <c r="D835" t="s">
        <v>5</v>
      </c>
      <c r="E835" s="14">
        <v>22</v>
      </c>
      <c r="F835" s="14">
        <v>5794</v>
      </c>
      <c r="G835" s="14">
        <v>2</v>
      </c>
      <c r="H835" s="13">
        <v>2.2699999809999998</v>
      </c>
      <c r="I835" s="14">
        <v>1</v>
      </c>
      <c r="J835" s="11">
        <f>I835*85</f>
        <v>85</v>
      </c>
      <c r="K835" s="11">
        <f>J835-H835</f>
        <v>82.730000019000002</v>
      </c>
      <c r="L835" s="10">
        <f>G835/F835</f>
        <v>3.4518467380048324E-4</v>
      </c>
      <c r="M835" s="14">
        <f>IFERROR(ROUND(I835/G835,2),0)</f>
        <v>0.5</v>
      </c>
      <c r="N835" s="11">
        <f>IFERROR(H835/G835,0)</f>
        <v>1.1349999904999999</v>
      </c>
      <c r="O835" s="11">
        <f>IFERROR(H835/I835,0)</f>
        <v>2.2699999809999998</v>
      </c>
      <c r="P835" s="11">
        <f>IFERROR((J835-H835)/H835,0)</f>
        <v>36.444934234120602</v>
      </c>
    </row>
    <row r="836" spans="1:16">
      <c r="A836">
        <v>781114</v>
      </c>
      <c r="B836" t="s">
        <v>161</v>
      </c>
      <c r="C836" t="s">
        <v>3</v>
      </c>
      <c r="D836" t="s">
        <v>5</v>
      </c>
      <c r="E836" s="14">
        <v>18</v>
      </c>
      <c r="F836" s="14">
        <v>4813</v>
      </c>
      <c r="G836" s="14">
        <v>1</v>
      </c>
      <c r="H836" s="13">
        <v>1.0299999710000001</v>
      </c>
      <c r="I836" s="14">
        <v>1</v>
      </c>
      <c r="J836" s="11">
        <f>I836*85</f>
        <v>85</v>
      </c>
      <c r="K836" s="11">
        <f>J836-H836</f>
        <v>83.970000029000005</v>
      </c>
      <c r="L836" s="10">
        <f>G836/F836</f>
        <v>2.0777062123415748E-4</v>
      </c>
      <c r="M836" s="14">
        <f>IFERROR(ROUND(I836/G836,2),0)</f>
        <v>1</v>
      </c>
      <c r="N836" s="11">
        <f>IFERROR(H836/G836,0)</f>
        <v>1.0299999710000001</v>
      </c>
      <c r="O836" s="11">
        <f>IFERROR(H836/I836,0)</f>
        <v>1.0299999710000001</v>
      </c>
      <c r="P836" s="11">
        <f>IFERROR((J836-H836)/H836,0)</f>
        <v>81.524274168159181</v>
      </c>
    </row>
    <row r="837" spans="1:16">
      <c r="A837">
        <v>781159</v>
      </c>
      <c r="B837" t="s">
        <v>161</v>
      </c>
      <c r="C837" t="s">
        <v>3</v>
      </c>
      <c r="D837" t="s">
        <v>5</v>
      </c>
      <c r="E837" s="14">
        <v>10</v>
      </c>
      <c r="F837" s="14">
        <v>85285</v>
      </c>
      <c r="G837" s="14">
        <v>26</v>
      </c>
      <c r="H837" s="13">
        <v>36.130000350000003</v>
      </c>
      <c r="I837" s="14">
        <v>1</v>
      </c>
      <c r="J837" s="11">
        <f>I837*85</f>
        <v>85</v>
      </c>
      <c r="K837" s="11">
        <f>J837-H837</f>
        <v>48.869999649999997</v>
      </c>
      <c r="L837" s="10">
        <f>G837/F837</f>
        <v>3.0486017470833087E-4</v>
      </c>
      <c r="M837" s="14">
        <f>IFERROR(ROUND(I837/G837,2),0)</f>
        <v>0.04</v>
      </c>
      <c r="N837" s="11">
        <f>IFERROR(H837/G837,0)</f>
        <v>1.3896153980769232</v>
      </c>
      <c r="O837" s="11">
        <f>IFERROR(H837/I837,0)</f>
        <v>36.130000350000003</v>
      </c>
      <c r="P837" s="11">
        <f>IFERROR((J837-H837)/H837,0)</f>
        <v>1.3526155321501399</v>
      </c>
    </row>
    <row r="838" spans="1:16">
      <c r="A838">
        <v>781162</v>
      </c>
      <c r="B838" t="s">
        <v>161</v>
      </c>
      <c r="C838" t="s">
        <v>3</v>
      </c>
      <c r="D838" t="s">
        <v>5</v>
      </c>
      <c r="E838" s="14">
        <v>10</v>
      </c>
      <c r="F838" s="14">
        <v>5839</v>
      </c>
      <c r="G838" s="14">
        <v>1</v>
      </c>
      <c r="H838" s="13">
        <v>1.3700000050000001</v>
      </c>
      <c r="I838" s="14">
        <v>1</v>
      </c>
      <c r="J838" s="11">
        <f>I838*85</f>
        <v>85</v>
      </c>
      <c r="K838" s="11">
        <f>J838-H838</f>
        <v>83.629999995000006</v>
      </c>
      <c r="L838" s="10">
        <f>G838/F838</f>
        <v>1.7126220243192326E-4</v>
      </c>
      <c r="M838" s="14">
        <f>IFERROR(ROUND(I838/G838,2),0)</f>
        <v>1</v>
      </c>
      <c r="N838" s="11">
        <f>IFERROR(H838/G838,0)</f>
        <v>1.3700000050000001</v>
      </c>
      <c r="O838" s="11">
        <f>IFERROR(H838/I838,0)</f>
        <v>1.3700000050000001</v>
      </c>
      <c r="P838" s="11">
        <f>IFERROR((J838-H838)/H838,0)</f>
        <v>61.043795394000746</v>
      </c>
    </row>
    <row r="839" spans="1:16">
      <c r="A839">
        <v>781175</v>
      </c>
      <c r="B839" t="s">
        <v>161</v>
      </c>
      <c r="C839" t="s">
        <v>3</v>
      </c>
      <c r="D839" t="s">
        <v>5</v>
      </c>
      <c r="E839" s="14">
        <v>15</v>
      </c>
      <c r="F839" s="14">
        <v>5859</v>
      </c>
      <c r="G839" s="14">
        <v>1</v>
      </c>
      <c r="H839" s="13">
        <v>1.539999962</v>
      </c>
      <c r="I839" s="14">
        <v>1</v>
      </c>
      <c r="J839" s="11">
        <f>I839*85</f>
        <v>85</v>
      </c>
      <c r="K839" s="11">
        <f>J839-H839</f>
        <v>83.460000038000004</v>
      </c>
      <c r="L839" s="10">
        <f>G839/F839</f>
        <v>1.7067759003242875E-4</v>
      </c>
      <c r="M839" s="14">
        <f>IFERROR(ROUND(I839/G839,2),0)</f>
        <v>1</v>
      </c>
      <c r="N839" s="11">
        <f>IFERROR(H839/G839,0)</f>
        <v>1.539999962</v>
      </c>
      <c r="O839" s="11">
        <f>IFERROR(H839/I839,0)</f>
        <v>1.539999962</v>
      </c>
      <c r="P839" s="11">
        <f>IFERROR((J839-H839)/H839,0)</f>
        <v>54.194806556754969</v>
      </c>
    </row>
    <row r="840" spans="1:16">
      <c r="A840">
        <v>781187</v>
      </c>
      <c r="B840" t="s">
        <v>161</v>
      </c>
      <c r="C840" t="s">
        <v>3</v>
      </c>
      <c r="D840" t="s">
        <v>5</v>
      </c>
      <c r="E840" s="14">
        <v>16</v>
      </c>
      <c r="F840" s="14">
        <v>164118</v>
      </c>
      <c r="G840" s="14">
        <v>41</v>
      </c>
      <c r="H840" s="13">
        <v>59.069999930000002</v>
      </c>
      <c r="I840" s="14">
        <v>1</v>
      </c>
      <c r="J840" s="11">
        <f>I840*85</f>
        <v>85</v>
      </c>
      <c r="K840" s="11">
        <f>J840-H840</f>
        <v>25.930000069999998</v>
      </c>
      <c r="L840" s="10">
        <f>G840/F840</f>
        <v>2.4982025128261374E-4</v>
      </c>
      <c r="M840" s="14">
        <f>IFERROR(ROUND(I840/G840,2),0)</f>
        <v>0.02</v>
      </c>
      <c r="N840" s="11">
        <f>IFERROR(H840/G840,0)</f>
        <v>1.4407317056097562</v>
      </c>
      <c r="O840" s="11">
        <f>IFERROR(H840/I840,0)</f>
        <v>59.069999930000002</v>
      </c>
      <c r="P840" s="11">
        <f>IFERROR((J840-H840)/H840,0)</f>
        <v>0.43897071441895968</v>
      </c>
    </row>
    <row r="841" spans="1:16">
      <c r="A841">
        <v>781195</v>
      </c>
      <c r="B841" t="s">
        <v>161</v>
      </c>
      <c r="C841" t="s">
        <v>2</v>
      </c>
      <c r="D841" t="s">
        <v>5</v>
      </c>
      <c r="E841" s="14">
        <v>63</v>
      </c>
      <c r="F841" s="14">
        <v>18234</v>
      </c>
      <c r="G841" s="14">
        <v>6</v>
      </c>
      <c r="H841" s="13">
        <v>7.8100000620000003</v>
      </c>
      <c r="I841" s="14">
        <v>1</v>
      </c>
      <c r="J841" s="11">
        <f>I841*85</f>
        <v>85</v>
      </c>
      <c r="K841" s="11">
        <f>J841-H841</f>
        <v>77.189999938</v>
      </c>
      <c r="L841" s="10">
        <f>G841/F841</f>
        <v>3.2905561039815728E-4</v>
      </c>
      <c r="M841" s="14">
        <f>IFERROR(ROUND(I841/G841,2),0)</f>
        <v>0.17</v>
      </c>
      <c r="N841" s="11">
        <f>IFERROR(H841/G841,0)</f>
        <v>1.301666677</v>
      </c>
      <c r="O841" s="11">
        <f>IFERROR(H841/I841,0)</f>
        <v>7.8100000620000003</v>
      </c>
      <c r="P841" s="11">
        <f>IFERROR((J841-H841)/H841,0)</f>
        <v>9.8834826280696646</v>
      </c>
    </row>
    <row r="842" spans="1:16">
      <c r="A842">
        <v>781303</v>
      </c>
      <c r="B842" t="s">
        <v>161</v>
      </c>
      <c r="C842" t="s">
        <v>2</v>
      </c>
      <c r="D842" t="s">
        <v>5</v>
      </c>
      <c r="E842" s="14">
        <v>27</v>
      </c>
      <c r="F842" s="14">
        <v>73676</v>
      </c>
      <c r="G842" s="14">
        <v>20</v>
      </c>
      <c r="H842" s="13">
        <v>28.5</v>
      </c>
      <c r="I842" s="14">
        <v>1</v>
      </c>
      <c r="J842" s="11">
        <f>I842*85</f>
        <v>85</v>
      </c>
      <c r="K842" s="11">
        <f>J842-H842</f>
        <v>56.5</v>
      </c>
      <c r="L842" s="10">
        <f>G842/F842</f>
        <v>2.7145881969705196E-4</v>
      </c>
      <c r="M842" s="14">
        <f>IFERROR(ROUND(I842/G842,2),0)</f>
        <v>0.05</v>
      </c>
      <c r="N842" s="11">
        <f>IFERROR(H842/G842,0)</f>
        <v>1.425</v>
      </c>
      <c r="O842" s="11">
        <f>IFERROR(H842/I842,0)</f>
        <v>28.5</v>
      </c>
      <c r="P842" s="11">
        <f>IFERROR((J842-H842)/H842,0)</f>
        <v>1.9824561403508771</v>
      </c>
    </row>
    <row r="843" spans="1:16">
      <c r="A843">
        <v>781305</v>
      </c>
      <c r="B843" t="s">
        <v>161</v>
      </c>
      <c r="C843" t="s">
        <v>2</v>
      </c>
      <c r="D843" t="s">
        <v>5</v>
      </c>
      <c r="E843" s="14">
        <v>27</v>
      </c>
      <c r="F843" s="14">
        <v>18421</v>
      </c>
      <c r="G843" s="14">
        <v>7</v>
      </c>
      <c r="H843" s="13">
        <v>10.079999920000001</v>
      </c>
      <c r="I843" s="14">
        <v>1</v>
      </c>
      <c r="J843" s="11">
        <f>I843*85</f>
        <v>85</v>
      </c>
      <c r="K843" s="11">
        <f>J843-H843</f>
        <v>74.920000079999994</v>
      </c>
      <c r="L843" s="10">
        <f>G843/F843</f>
        <v>3.8000108571738776E-4</v>
      </c>
      <c r="M843" s="14">
        <f>IFERROR(ROUND(I843/G843,2),0)</f>
        <v>0.14000000000000001</v>
      </c>
      <c r="N843" s="11">
        <f>IFERROR(H843/G843,0)</f>
        <v>1.4399999885714287</v>
      </c>
      <c r="O843" s="11">
        <f>IFERROR(H843/I843,0)</f>
        <v>10.079999920000001</v>
      </c>
      <c r="P843" s="11">
        <f>IFERROR((J843-H843)/H843,0)</f>
        <v>7.4325397494645999</v>
      </c>
    </row>
    <row r="844" spans="1:16">
      <c r="A844">
        <v>781354</v>
      </c>
      <c r="B844" t="s">
        <v>161</v>
      </c>
      <c r="C844" t="s">
        <v>2</v>
      </c>
      <c r="D844" t="s">
        <v>5</v>
      </c>
      <c r="E844" s="14">
        <v>10</v>
      </c>
      <c r="F844" s="14">
        <v>6424</v>
      </c>
      <c r="G844" s="14">
        <v>1</v>
      </c>
      <c r="H844" s="13">
        <v>0.52999997099999996</v>
      </c>
      <c r="I844" s="14">
        <v>1</v>
      </c>
      <c r="J844" s="11">
        <f>I844*85</f>
        <v>85</v>
      </c>
      <c r="K844" s="11">
        <f>J844-H844</f>
        <v>84.470000029000005</v>
      </c>
      <c r="L844" s="10">
        <f>G844/F844</f>
        <v>1.5566625155666251E-4</v>
      </c>
      <c r="M844" s="14">
        <f>IFERROR(ROUND(I844/G844,2),0)</f>
        <v>1</v>
      </c>
      <c r="N844" s="11">
        <f>IFERROR(H844/G844,0)</f>
        <v>0.52999997099999996</v>
      </c>
      <c r="O844" s="11">
        <f>IFERROR(H844/I844,0)</f>
        <v>0.52999997099999996</v>
      </c>
      <c r="P844" s="11">
        <f>IFERROR((J844-H844)/H844,0)</f>
        <v>159.37736726593144</v>
      </c>
    </row>
    <row r="845" spans="1:16">
      <c r="A845">
        <v>781499</v>
      </c>
      <c r="B845" t="s">
        <v>161</v>
      </c>
      <c r="C845" t="s">
        <v>2</v>
      </c>
      <c r="D845" t="s">
        <v>1</v>
      </c>
      <c r="E845" s="14">
        <v>15</v>
      </c>
      <c r="F845" s="14">
        <v>6412</v>
      </c>
      <c r="G845" s="14">
        <v>1</v>
      </c>
      <c r="H845" s="13">
        <v>1.3700000050000001</v>
      </c>
      <c r="I845" s="14">
        <v>1</v>
      </c>
      <c r="J845" s="11">
        <f>I845*85</f>
        <v>85</v>
      </c>
      <c r="K845" s="11">
        <f>J845-H845</f>
        <v>83.629999995000006</v>
      </c>
      <c r="L845" s="10">
        <f>G845/F845</f>
        <v>1.5595757953836556E-4</v>
      </c>
      <c r="M845" s="14">
        <f>IFERROR(ROUND(I845/G845,2),0)</f>
        <v>1</v>
      </c>
      <c r="N845" s="11">
        <f>IFERROR(H845/G845,0)</f>
        <v>1.3700000050000001</v>
      </c>
      <c r="O845" s="11">
        <f>IFERROR(H845/I845,0)</f>
        <v>1.3700000050000001</v>
      </c>
      <c r="P845" s="11">
        <f>IFERROR((J845-H845)/H845,0)</f>
        <v>61.043795394000746</v>
      </c>
    </row>
    <row r="846" spans="1:16">
      <c r="A846">
        <v>781508</v>
      </c>
      <c r="B846" t="s">
        <v>161</v>
      </c>
      <c r="C846" t="s">
        <v>0</v>
      </c>
      <c r="D846" t="s">
        <v>5</v>
      </c>
      <c r="E846" s="14">
        <v>63</v>
      </c>
      <c r="F846" s="14">
        <v>5040</v>
      </c>
      <c r="G846" s="14">
        <v>1</v>
      </c>
      <c r="H846" s="13">
        <v>1.440000057</v>
      </c>
      <c r="I846" s="14">
        <v>1</v>
      </c>
      <c r="J846" s="11">
        <f>I846*85</f>
        <v>85</v>
      </c>
      <c r="K846" s="11">
        <f>J846-H846</f>
        <v>83.559999942999994</v>
      </c>
      <c r="L846" s="10">
        <f>G846/F846</f>
        <v>1.9841269841269841E-4</v>
      </c>
      <c r="M846" s="14">
        <f>IFERROR(ROUND(I846/G846,2),0)</f>
        <v>1</v>
      </c>
      <c r="N846" s="11">
        <f>IFERROR(H846/G846,0)</f>
        <v>1.440000057</v>
      </c>
      <c r="O846" s="11">
        <f>IFERROR(H846/I846,0)</f>
        <v>1.440000057</v>
      </c>
      <c r="P846" s="11">
        <f>IFERROR((J846-H846)/H846,0)</f>
        <v>58.02777544126166</v>
      </c>
    </row>
    <row r="847" spans="1:16">
      <c r="A847">
        <v>781606</v>
      </c>
      <c r="B847" t="s">
        <v>161</v>
      </c>
      <c r="C847" t="s">
        <v>2</v>
      </c>
      <c r="D847" t="s">
        <v>1</v>
      </c>
      <c r="E847" s="14">
        <v>20</v>
      </c>
      <c r="F847" s="14">
        <v>8200</v>
      </c>
      <c r="G847" s="14">
        <v>3</v>
      </c>
      <c r="H847" s="13">
        <v>3.9199999569999999</v>
      </c>
      <c r="I847" s="14">
        <v>1</v>
      </c>
      <c r="J847" s="11">
        <f>I847*85</f>
        <v>85</v>
      </c>
      <c r="K847" s="11">
        <f>J847-H847</f>
        <v>81.080000042999998</v>
      </c>
      <c r="L847" s="10">
        <f>G847/F847</f>
        <v>3.6585365853658537E-4</v>
      </c>
      <c r="M847" s="14">
        <f>IFERROR(ROUND(I847/G847,2),0)</f>
        <v>0.33</v>
      </c>
      <c r="N847" s="11">
        <f>IFERROR(H847/G847,0)</f>
        <v>1.3066666523333332</v>
      </c>
      <c r="O847" s="11">
        <f>IFERROR(H847/I847,0)</f>
        <v>3.9199999569999999</v>
      </c>
      <c r="P847" s="11">
        <f>IFERROR((J847-H847)/H847,0)</f>
        <v>20.683673707244381</v>
      </c>
    </row>
    <row r="848" spans="1:16">
      <c r="A848">
        <v>781690</v>
      </c>
      <c r="B848" t="s">
        <v>161</v>
      </c>
      <c r="C848" t="s">
        <v>4</v>
      </c>
      <c r="D848" t="s">
        <v>5</v>
      </c>
      <c r="E848" s="14">
        <v>26</v>
      </c>
      <c r="F848" s="14">
        <v>115896</v>
      </c>
      <c r="G848" s="14">
        <v>38</v>
      </c>
      <c r="H848" s="13">
        <v>49.440000060000003</v>
      </c>
      <c r="I848" s="14">
        <v>1</v>
      </c>
      <c r="J848" s="11">
        <f>I848*85</f>
        <v>85</v>
      </c>
      <c r="K848" s="11">
        <f>J848-H848</f>
        <v>35.559999939999997</v>
      </c>
      <c r="L848" s="10">
        <f>G848/F848</f>
        <v>3.2788016842686546E-4</v>
      </c>
      <c r="M848" s="14">
        <f>IFERROR(ROUND(I848/G848,2),0)</f>
        <v>0.03</v>
      </c>
      <c r="N848" s="11">
        <f>IFERROR(H848/G848,0)</f>
        <v>1.3010526331578949</v>
      </c>
      <c r="O848" s="11">
        <f>IFERROR(H848/I848,0)</f>
        <v>49.440000060000003</v>
      </c>
      <c r="P848" s="11">
        <f>IFERROR((J848-H848)/H848,0)</f>
        <v>0.71925566134394525</v>
      </c>
    </row>
    <row r="849" spans="1:16">
      <c r="A849">
        <v>781929</v>
      </c>
      <c r="B849" t="s">
        <v>161</v>
      </c>
      <c r="C849" t="s">
        <v>0</v>
      </c>
      <c r="D849" t="s">
        <v>1</v>
      </c>
      <c r="E849" s="14">
        <v>18</v>
      </c>
      <c r="F849" s="14">
        <v>6142</v>
      </c>
      <c r="G849" s="14">
        <v>1</v>
      </c>
      <c r="H849" s="13">
        <v>1.3300000430000001</v>
      </c>
      <c r="I849" s="14">
        <v>1</v>
      </c>
      <c r="J849" s="11">
        <f>I849*85</f>
        <v>85</v>
      </c>
      <c r="K849" s="11">
        <f>J849-H849</f>
        <v>83.669999957000002</v>
      </c>
      <c r="L849" s="10">
        <f>G849/F849</f>
        <v>1.6281341582546403E-4</v>
      </c>
      <c r="M849" s="14">
        <f>IFERROR(ROUND(I849/G849,2),0)</f>
        <v>1</v>
      </c>
      <c r="N849" s="11">
        <f>IFERROR(H849/G849,0)</f>
        <v>1.3300000430000001</v>
      </c>
      <c r="O849" s="11">
        <f>IFERROR(H849/I849,0)</f>
        <v>1.3300000430000001</v>
      </c>
      <c r="P849" s="11">
        <f>IFERROR((J849-H849)/H849,0)</f>
        <v>62.909772369834428</v>
      </c>
    </row>
    <row r="850" spans="1:16">
      <c r="A850">
        <v>781999</v>
      </c>
      <c r="B850" t="s">
        <v>161</v>
      </c>
      <c r="C850" t="s">
        <v>0</v>
      </c>
      <c r="D850" t="s">
        <v>1</v>
      </c>
      <c r="E850" s="14">
        <v>24</v>
      </c>
      <c r="F850" s="14">
        <v>9142</v>
      </c>
      <c r="G850" s="14">
        <v>3</v>
      </c>
      <c r="H850" s="13">
        <v>3.7499998809999999</v>
      </c>
      <c r="I850" s="14">
        <v>1</v>
      </c>
      <c r="J850" s="11">
        <f>I850*85</f>
        <v>85</v>
      </c>
      <c r="K850" s="11">
        <f>J850-H850</f>
        <v>81.250000119000006</v>
      </c>
      <c r="L850" s="10">
        <f>G850/F850</f>
        <v>3.2815576460293154E-4</v>
      </c>
      <c r="M850" s="14">
        <f>IFERROR(ROUND(I850/G850,2),0)</f>
        <v>0.33</v>
      </c>
      <c r="N850" s="11">
        <f>IFERROR(H850/G850,0)</f>
        <v>1.2499999603333334</v>
      </c>
      <c r="O850" s="11">
        <f>IFERROR(H850/I850,0)</f>
        <v>3.7499998809999999</v>
      </c>
      <c r="P850" s="11">
        <f>IFERROR((J850-H850)/H850,0)</f>
        <v>21.666667385955581</v>
      </c>
    </row>
    <row r="851" spans="1:16">
      <c r="A851">
        <v>782026</v>
      </c>
      <c r="B851" t="s">
        <v>161</v>
      </c>
      <c r="C851" t="s">
        <v>0</v>
      </c>
      <c r="D851" t="s">
        <v>5</v>
      </c>
      <c r="E851" s="14">
        <v>18</v>
      </c>
      <c r="F851" s="14">
        <v>5704</v>
      </c>
      <c r="G851" s="14">
        <v>1</v>
      </c>
      <c r="H851" s="13">
        <v>1.3200000519999999</v>
      </c>
      <c r="I851" s="14">
        <v>1</v>
      </c>
      <c r="J851" s="11">
        <f>I851*85</f>
        <v>85</v>
      </c>
      <c r="K851" s="11">
        <f>J851-H851</f>
        <v>83.679999948000003</v>
      </c>
      <c r="L851" s="10">
        <f>G851/F851</f>
        <v>1.7531556802244039E-4</v>
      </c>
      <c r="M851" s="14">
        <f>IFERROR(ROUND(I851/G851,2),0)</f>
        <v>1</v>
      </c>
      <c r="N851" s="11">
        <f>IFERROR(H851/G851,0)</f>
        <v>1.3200000519999999</v>
      </c>
      <c r="O851" s="11">
        <f>IFERROR(H851/I851,0)</f>
        <v>1.3200000519999999</v>
      </c>
      <c r="P851" s="11">
        <f>IFERROR((J851-H851)/H851,0)</f>
        <v>63.393936857208551</v>
      </c>
    </row>
    <row r="852" spans="1:16">
      <c r="A852">
        <v>782242</v>
      </c>
      <c r="B852" t="s">
        <v>161</v>
      </c>
      <c r="C852" t="s">
        <v>0</v>
      </c>
      <c r="D852" t="s">
        <v>5</v>
      </c>
      <c r="E852" s="14">
        <v>28</v>
      </c>
      <c r="F852" s="14">
        <v>4783</v>
      </c>
      <c r="G852" s="14">
        <v>1</v>
      </c>
      <c r="H852" s="13">
        <v>0.86000001400000003</v>
      </c>
      <c r="I852" s="14">
        <v>1</v>
      </c>
      <c r="J852" s="11">
        <f>I852*85</f>
        <v>85</v>
      </c>
      <c r="K852" s="11">
        <f>J852-H852</f>
        <v>84.139999986000007</v>
      </c>
      <c r="L852" s="10">
        <f>G852/F852</f>
        <v>2.0907380305247751E-4</v>
      </c>
      <c r="M852" s="14">
        <f>IFERROR(ROUND(I852/G852,2),0)</f>
        <v>1</v>
      </c>
      <c r="N852" s="11">
        <f>IFERROR(H852/G852,0)</f>
        <v>0.86000001400000003</v>
      </c>
      <c r="O852" s="11">
        <f>IFERROR(H852/I852,0)</f>
        <v>0.86000001400000003</v>
      </c>
      <c r="P852" s="11">
        <f>IFERROR((J852-H852)/H852,0)</f>
        <v>97.837207693347779</v>
      </c>
    </row>
    <row r="853" spans="1:16">
      <c r="A853">
        <v>782275</v>
      </c>
      <c r="B853" t="s">
        <v>161</v>
      </c>
      <c r="C853" t="s">
        <v>0</v>
      </c>
      <c r="D853" t="s">
        <v>5</v>
      </c>
      <c r="E853" s="14">
        <v>29</v>
      </c>
      <c r="F853" s="14">
        <v>6475</v>
      </c>
      <c r="G853" s="14">
        <v>1</v>
      </c>
      <c r="H853" s="13">
        <v>1.3500000240000001</v>
      </c>
      <c r="I853" s="14">
        <v>1</v>
      </c>
      <c r="J853" s="11">
        <f>I853*85</f>
        <v>85</v>
      </c>
      <c r="K853" s="11">
        <f>J853-H853</f>
        <v>83.649999976000004</v>
      </c>
      <c r="L853" s="10">
        <f>G853/F853</f>
        <v>1.5444015444015445E-4</v>
      </c>
      <c r="M853" s="14">
        <f>IFERROR(ROUND(I853/G853,2),0)</f>
        <v>1</v>
      </c>
      <c r="N853" s="11">
        <f>IFERROR(H853/G853,0)</f>
        <v>1.3500000240000001</v>
      </c>
      <c r="O853" s="11">
        <f>IFERROR(H853/I853,0)</f>
        <v>1.3500000240000001</v>
      </c>
      <c r="P853" s="11">
        <f>IFERROR((J853-H853)/H853,0)</f>
        <v>61.962961843621422</v>
      </c>
    </row>
    <row r="854" spans="1:16">
      <c r="A854">
        <v>782407</v>
      </c>
      <c r="B854" t="s">
        <v>161</v>
      </c>
      <c r="C854" t="s">
        <v>4</v>
      </c>
      <c r="D854" t="s">
        <v>5</v>
      </c>
      <c r="E854" s="14">
        <v>10</v>
      </c>
      <c r="F854" s="14">
        <v>33664</v>
      </c>
      <c r="G854" s="14">
        <v>11</v>
      </c>
      <c r="H854" s="13">
        <v>12.51000035</v>
      </c>
      <c r="I854" s="14">
        <v>1</v>
      </c>
      <c r="J854" s="11">
        <f>I854*85</f>
        <v>85</v>
      </c>
      <c r="K854" s="11">
        <f>J854-H854</f>
        <v>72.489999650000001</v>
      </c>
      <c r="L854" s="10">
        <f>G854/F854</f>
        <v>3.2675855513307982E-4</v>
      </c>
      <c r="M854" s="14">
        <f>IFERROR(ROUND(I854/G854,2),0)</f>
        <v>0.09</v>
      </c>
      <c r="N854" s="11">
        <f>IFERROR(H854/G854,0)</f>
        <v>1.1372727590909091</v>
      </c>
      <c r="O854" s="11">
        <f>IFERROR(H854/I854,0)</f>
        <v>12.51000035</v>
      </c>
      <c r="P854" s="11">
        <f>IFERROR((J854-H854)/H854,0)</f>
        <v>5.7945641584254632</v>
      </c>
    </row>
    <row r="855" spans="1:16">
      <c r="A855">
        <v>782541</v>
      </c>
      <c r="B855" t="s">
        <v>161</v>
      </c>
      <c r="C855" t="s">
        <v>3</v>
      </c>
      <c r="D855" t="s">
        <v>5</v>
      </c>
      <c r="E855" s="14">
        <v>28</v>
      </c>
      <c r="F855" s="14">
        <v>7337</v>
      </c>
      <c r="G855" s="14">
        <v>3</v>
      </c>
      <c r="H855" s="13">
        <v>4.079999924</v>
      </c>
      <c r="I855" s="14">
        <v>1</v>
      </c>
      <c r="J855" s="11">
        <f>I855*85</f>
        <v>85</v>
      </c>
      <c r="K855" s="11">
        <f>J855-H855</f>
        <v>80.920000075999994</v>
      </c>
      <c r="L855" s="10">
        <f>G855/F855</f>
        <v>4.0888646585798008E-4</v>
      </c>
      <c r="M855" s="14">
        <f>IFERROR(ROUND(I855/G855,2),0)</f>
        <v>0.33</v>
      </c>
      <c r="N855" s="11">
        <f>IFERROR(H855/G855,0)</f>
        <v>1.3599999746666667</v>
      </c>
      <c r="O855" s="11">
        <f>IFERROR(H855/I855,0)</f>
        <v>4.079999924</v>
      </c>
      <c r="P855" s="11">
        <f>IFERROR((J855-H855)/H855,0)</f>
        <v>19.833333721405236</v>
      </c>
    </row>
    <row r="856" spans="1:16">
      <c r="A856">
        <v>782647</v>
      </c>
      <c r="B856" t="s">
        <v>161</v>
      </c>
      <c r="C856" t="s">
        <v>3</v>
      </c>
      <c r="D856" t="s">
        <v>5</v>
      </c>
      <c r="E856" s="14">
        <v>27</v>
      </c>
      <c r="F856" s="14">
        <v>11244</v>
      </c>
      <c r="G856" s="14">
        <v>3</v>
      </c>
      <c r="H856" s="13">
        <v>4.5500001909999996</v>
      </c>
      <c r="I856" s="14">
        <v>1</v>
      </c>
      <c r="J856" s="11">
        <f>I856*85</f>
        <v>85</v>
      </c>
      <c r="K856" s="11">
        <f>J856-H856</f>
        <v>80.449999809000005</v>
      </c>
      <c r="L856" s="10">
        <f>G856/F856</f>
        <v>2.6680896478121667E-4</v>
      </c>
      <c r="M856" s="14">
        <f>IFERROR(ROUND(I856/G856,2),0)</f>
        <v>0.33</v>
      </c>
      <c r="N856" s="11">
        <f>IFERROR(H856/G856,0)</f>
        <v>1.5166667303333332</v>
      </c>
      <c r="O856" s="11">
        <f>IFERROR(H856/I856,0)</f>
        <v>4.5500001909999996</v>
      </c>
      <c r="P856" s="11">
        <f>IFERROR((J856-H856)/H856,0)</f>
        <v>17.68131789711391</v>
      </c>
    </row>
    <row r="857" spans="1:16">
      <c r="A857">
        <v>782754</v>
      </c>
      <c r="B857" t="s">
        <v>161</v>
      </c>
      <c r="C857" t="s">
        <v>2</v>
      </c>
      <c r="D857" t="s">
        <v>5</v>
      </c>
      <c r="E857" s="14">
        <v>26</v>
      </c>
      <c r="F857" s="14">
        <v>6532</v>
      </c>
      <c r="G857" s="14">
        <v>1</v>
      </c>
      <c r="H857" s="13">
        <v>1.6100000139999999</v>
      </c>
      <c r="I857" s="14">
        <v>1</v>
      </c>
      <c r="J857" s="11">
        <f>I857*85</f>
        <v>85</v>
      </c>
      <c r="K857" s="11">
        <f>J857-H857</f>
        <v>83.389999986000007</v>
      </c>
      <c r="L857" s="10">
        <f>G857/F857</f>
        <v>1.5309246785058175E-4</v>
      </c>
      <c r="M857" s="14">
        <f>IFERROR(ROUND(I857/G857,2),0)</f>
        <v>1</v>
      </c>
      <c r="N857" s="11">
        <f>IFERROR(H857/G857,0)</f>
        <v>1.6100000139999999</v>
      </c>
      <c r="O857" s="11">
        <f>IFERROR(H857/I857,0)</f>
        <v>1.6100000139999999</v>
      </c>
      <c r="P857" s="11">
        <f>IFERROR((J857-H857)/H857,0)</f>
        <v>51.795030596813405</v>
      </c>
    </row>
    <row r="858" spans="1:16">
      <c r="A858">
        <v>782815</v>
      </c>
      <c r="B858" t="s">
        <v>161</v>
      </c>
      <c r="C858" t="s">
        <v>3</v>
      </c>
      <c r="D858" t="s">
        <v>5</v>
      </c>
      <c r="E858" s="14">
        <v>10</v>
      </c>
      <c r="F858" s="14">
        <v>11537</v>
      </c>
      <c r="G858" s="14">
        <v>3</v>
      </c>
      <c r="H858" s="13">
        <v>4.3000001909999996</v>
      </c>
      <c r="I858" s="14">
        <v>1</v>
      </c>
      <c r="J858" s="11">
        <f>I858*85</f>
        <v>85</v>
      </c>
      <c r="K858" s="11">
        <f>J858-H858</f>
        <v>80.699999809000005</v>
      </c>
      <c r="L858" s="10">
        <f>G858/F858</f>
        <v>2.6003293750541737E-4</v>
      </c>
      <c r="M858" s="14">
        <f>IFERROR(ROUND(I858/G858,2),0)</f>
        <v>0.33</v>
      </c>
      <c r="N858" s="11">
        <f>IFERROR(H858/G858,0)</f>
        <v>1.433333397</v>
      </c>
      <c r="O858" s="11">
        <f>IFERROR(H858/I858,0)</f>
        <v>4.3000001909999996</v>
      </c>
      <c r="P858" s="11">
        <f>IFERROR((J858-H858)/H858,0)</f>
        <v>18.767440982422972</v>
      </c>
    </row>
    <row r="859" spans="1:16">
      <c r="A859">
        <v>782816</v>
      </c>
      <c r="B859" t="s">
        <v>161</v>
      </c>
      <c r="C859" t="s">
        <v>3</v>
      </c>
      <c r="D859" t="s">
        <v>5</v>
      </c>
      <c r="E859" s="14">
        <v>10</v>
      </c>
      <c r="F859" s="14">
        <v>12183</v>
      </c>
      <c r="G859" s="14">
        <v>3</v>
      </c>
      <c r="H859" s="13">
        <v>2.869999945</v>
      </c>
      <c r="I859" s="14">
        <v>1</v>
      </c>
      <c r="J859" s="11">
        <f>I859*85</f>
        <v>85</v>
      </c>
      <c r="K859" s="11">
        <f>J859-H859</f>
        <v>82.130000054999996</v>
      </c>
      <c r="L859" s="10">
        <f>G859/F859</f>
        <v>2.4624476729869491E-4</v>
      </c>
      <c r="M859" s="14">
        <f>IFERROR(ROUND(I859/G859,2),0)</f>
        <v>0.33</v>
      </c>
      <c r="N859" s="11">
        <f>IFERROR(H859/G859,0)</f>
        <v>0.95666664833333337</v>
      </c>
      <c r="O859" s="11">
        <f>IFERROR(H859/I859,0)</f>
        <v>2.869999945</v>
      </c>
      <c r="P859" s="11">
        <f>IFERROR((J859-H859)/H859,0)</f>
        <v>28.616725306243865</v>
      </c>
    </row>
    <row r="860" spans="1:16">
      <c r="A860">
        <v>950068</v>
      </c>
      <c r="B860" t="s">
        <v>161</v>
      </c>
      <c r="C860" t="s">
        <v>0</v>
      </c>
      <c r="D860" t="s">
        <v>1</v>
      </c>
      <c r="E860" s="14">
        <v>10</v>
      </c>
      <c r="F860" s="14">
        <v>4012</v>
      </c>
      <c r="G860" s="14">
        <v>1</v>
      </c>
      <c r="H860" s="13">
        <v>1.5700000519999999</v>
      </c>
      <c r="I860" s="14">
        <v>1</v>
      </c>
      <c r="J860" s="11">
        <f>I860*85</f>
        <v>85</v>
      </c>
      <c r="K860" s="11">
        <f>J860-H860</f>
        <v>83.429999948000003</v>
      </c>
      <c r="L860" s="10">
        <f>G860/F860</f>
        <v>2.4925224327018941E-4</v>
      </c>
      <c r="M860" s="14">
        <f>IFERROR(ROUND(I860/G860,2),0)</f>
        <v>1</v>
      </c>
      <c r="N860" s="11">
        <f>IFERROR(H860/G860,0)</f>
        <v>1.5700000519999999</v>
      </c>
      <c r="O860" s="11">
        <f>IFERROR(H860/I860,0)</f>
        <v>1.5700000519999999</v>
      </c>
      <c r="P860" s="11">
        <f>IFERROR((J860-H860)/H860,0)</f>
        <v>53.140125595358903</v>
      </c>
    </row>
    <row r="861" spans="1:16">
      <c r="A861">
        <v>950183</v>
      </c>
      <c r="B861" t="s">
        <v>161</v>
      </c>
      <c r="C861" t="s">
        <v>0</v>
      </c>
      <c r="D861" t="s">
        <v>1</v>
      </c>
      <c r="E861" s="14">
        <v>16</v>
      </c>
      <c r="F861" s="14">
        <v>15720</v>
      </c>
      <c r="G861" s="14">
        <v>1</v>
      </c>
      <c r="H861" s="13">
        <v>1.3799999949999999</v>
      </c>
      <c r="I861" s="14">
        <v>1</v>
      </c>
      <c r="J861" s="11">
        <f>I861*85</f>
        <v>85</v>
      </c>
      <c r="K861" s="11">
        <f>J861-H861</f>
        <v>83.620000004999994</v>
      </c>
      <c r="L861" s="10">
        <f>G861/F861</f>
        <v>6.3613231552162849E-5</v>
      </c>
      <c r="M861" s="14">
        <f>IFERROR(ROUND(I861/G861,2),0)</f>
        <v>1</v>
      </c>
      <c r="N861" s="11">
        <f>IFERROR(H861/G861,0)</f>
        <v>1.3799999949999999</v>
      </c>
      <c r="O861" s="11">
        <f>IFERROR(H861/I861,0)</f>
        <v>1.3799999949999999</v>
      </c>
      <c r="P861" s="11">
        <f>IFERROR((J861-H861)/H861,0)</f>
        <v>60.594203121718124</v>
      </c>
    </row>
    <row r="862" spans="1:16">
      <c r="A862">
        <v>950452</v>
      </c>
      <c r="B862" t="s">
        <v>161</v>
      </c>
      <c r="C862" t="s">
        <v>4</v>
      </c>
      <c r="D862" t="s">
        <v>1</v>
      </c>
      <c r="E862" s="14">
        <v>16</v>
      </c>
      <c r="F862" s="14">
        <v>5537</v>
      </c>
      <c r="G862" s="14">
        <v>1</v>
      </c>
      <c r="H862" s="13">
        <v>1.519999981</v>
      </c>
      <c r="I862" s="14">
        <v>1</v>
      </c>
      <c r="J862" s="11">
        <f>I862*85</f>
        <v>85</v>
      </c>
      <c r="K862" s="11">
        <f>J862-H862</f>
        <v>83.480000019000002</v>
      </c>
      <c r="L862" s="10">
        <f>G862/F862</f>
        <v>1.8060321473722233E-4</v>
      </c>
      <c r="M862" s="14">
        <f>IFERROR(ROUND(I862/G862,2),0)</f>
        <v>1</v>
      </c>
      <c r="N862" s="11">
        <f>IFERROR(H862/G862,0)</f>
        <v>1.519999981</v>
      </c>
      <c r="O862" s="11">
        <f>IFERROR(H862/I862,0)</f>
        <v>1.519999981</v>
      </c>
      <c r="P862" s="11">
        <f>IFERROR((J862-H862)/H862,0)</f>
        <v>54.921053330592116</v>
      </c>
    </row>
    <row r="863" spans="1:16">
      <c r="A863">
        <v>950495</v>
      </c>
      <c r="B863" t="s">
        <v>161</v>
      </c>
      <c r="C863" t="s">
        <v>4</v>
      </c>
      <c r="D863" t="s">
        <v>1</v>
      </c>
      <c r="E863" s="14">
        <v>21</v>
      </c>
      <c r="F863" s="14">
        <v>1909</v>
      </c>
      <c r="G863" s="14">
        <v>1</v>
      </c>
      <c r="H863" s="13">
        <v>0.980000019</v>
      </c>
      <c r="I863" s="14">
        <v>1</v>
      </c>
      <c r="J863" s="11">
        <f>I863*85</f>
        <v>85</v>
      </c>
      <c r="K863" s="11">
        <f>J863-H863</f>
        <v>84.019999980999998</v>
      </c>
      <c r="L863" s="10">
        <f>G863/F863</f>
        <v>5.2383446830801469E-4</v>
      </c>
      <c r="M863" s="14">
        <f>IFERROR(ROUND(I863/G863,2),0)</f>
        <v>1</v>
      </c>
      <c r="N863" s="11">
        <f>IFERROR(H863/G863,0)</f>
        <v>0.980000019</v>
      </c>
      <c r="O863" s="11">
        <f>IFERROR(H863/I863,0)</f>
        <v>0.980000019</v>
      </c>
      <c r="P863" s="11">
        <f>IFERROR((J863-H863)/H863,0)</f>
        <v>85.734692195960051</v>
      </c>
    </row>
    <row r="864" spans="1:16">
      <c r="A864">
        <v>950537</v>
      </c>
      <c r="B864" t="s">
        <v>161</v>
      </c>
      <c r="C864" t="s">
        <v>3</v>
      </c>
      <c r="D864" t="s">
        <v>1</v>
      </c>
      <c r="E864" s="14">
        <v>36</v>
      </c>
      <c r="F864" s="14">
        <v>1884</v>
      </c>
      <c r="G864" s="14">
        <v>1</v>
      </c>
      <c r="H864" s="13">
        <v>1.4099999670000001</v>
      </c>
      <c r="I864" s="14">
        <v>1</v>
      </c>
      <c r="J864" s="11">
        <f>I864*85</f>
        <v>85</v>
      </c>
      <c r="K864" s="11">
        <f>J864-H864</f>
        <v>83.590000032999995</v>
      </c>
      <c r="L864" s="10">
        <f>G864/F864</f>
        <v>5.3078556263269638E-4</v>
      </c>
      <c r="M864" s="14">
        <f>IFERROR(ROUND(I864/G864,2),0)</f>
        <v>1</v>
      </c>
      <c r="N864" s="11">
        <f>IFERROR(H864/G864,0)</f>
        <v>1.4099999670000001</v>
      </c>
      <c r="O864" s="11">
        <f>IFERROR(H864/I864,0)</f>
        <v>1.4099999670000001</v>
      </c>
      <c r="P864" s="11">
        <f>IFERROR((J864-H864)/H864,0)</f>
        <v>59.283689354157261</v>
      </c>
    </row>
    <row r="865" spans="1:16">
      <c r="A865">
        <v>950776</v>
      </c>
      <c r="B865" t="s">
        <v>161</v>
      </c>
      <c r="C865" t="s">
        <v>2</v>
      </c>
      <c r="D865" t="s">
        <v>1</v>
      </c>
      <c r="E865" s="14">
        <v>28</v>
      </c>
      <c r="F865" s="14">
        <v>2633</v>
      </c>
      <c r="G865" s="14">
        <v>1</v>
      </c>
      <c r="H865" s="13">
        <v>1.0700000519999999</v>
      </c>
      <c r="I865" s="14">
        <v>1</v>
      </c>
      <c r="J865" s="11">
        <f>I865*85</f>
        <v>85</v>
      </c>
      <c r="K865" s="11">
        <f>J865-H865</f>
        <v>83.929999948000003</v>
      </c>
      <c r="L865" s="10">
        <f>G865/F865</f>
        <v>3.7979491074819596E-4</v>
      </c>
      <c r="M865" s="14">
        <f>IFERROR(ROUND(I865/G865,2),0)</f>
        <v>1</v>
      </c>
      <c r="N865" s="11">
        <f>IFERROR(H865/G865,0)</f>
        <v>1.0700000519999999</v>
      </c>
      <c r="O865" s="11">
        <f>IFERROR(H865/I865,0)</f>
        <v>1.0700000519999999</v>
      </c>
      <c r="P865" s="11">
        <f>IFERROR((J865-H865)/H865,0)</f>
        <v>78.43924847584961</v>
      </c>
    </row>
    <row r="866" spans="1:16">
      <c r="A866">
        <v>951033</v>
      </c>
      <c r="B866" t="s">
        <v>161</v>
      </c>
      <c r="C866" t="s">
        <v>0</v>
      </c>
      <c r="D866" t="s">
        <v>5</v>
      </c>
      <c r="E866" s="14">
        <v>10</v>
      </c>
      <c r="F866" s="14">
        <v>5517</v>
      </c>
      <c r="G866" s="14">
        <v>1</v>
      </c>
      <c r="H866" s="13">
        <v>1.230000019</v>
      </c>
      <c r="I866" s="14">
        <v>1</v>
      </c>
      <c r="J866" s="11">
        <f>I866*85</f>
        <v>85</v>
      </c>
      <c r="K866" s="11">
        <f>J866-H866</f>
        <v>83.769999980999998</v>
      </c>
      <c r="L866" s="10">
        <f>G866/F866</f>
        <v>1.8125793003443902E-4</v>
      </c>
      <c r="M866" s="14">
        <f>IFERROR(ROUND(I866/G866,2),0)</f>
        <v>1</v>
      </c>
      <c r="N866" s="11">
        <f>IFERROR(H866/G866,0)</f>
        <v>1.230000019</v>
      </c>
      <c r="O866" s="11">
        <f>IFERROR(H866/I866,0)</f>
        <v>1.230000019</v>
      </c>
      <c r="P866" s="11">
        <f>IFERROR((J866-H866)/H866,0)</f>
        <v>68.105689989424306</v>
      </c>
    </row>
    <row r="867" spans="1:16">
      <c r="A867">
        <v>951334</v>
      </c>
      <c r="B867" t="s">
        <v>161</v>
      </c>
      <c r="C867" t="s">
        <v>0</v>
      </c>
      <c r="D867" t="s">
        <v>5</v>
      </c>
      <c r="E867" s="14">
        <v>64</v>
      </c>
      <c r="F867" s="14">
        <v>3717</v>
      </c>
      <c r="G867" s="14">
        <v>1</v>
      </c>
      <c r="H867" s="13">
        <v>1.539999962</v>
      </c>
      <c r="I867" s="14">
        <v>1</v>
      </c>
      <c r="J867" s="11">
        <f>I867*85</f>
        <v>85</v>
      </c>
      <c r="K867" s="11">
        <f>J867-H867</f>
        <v>83.460000038000004</v>
      </c>
      <c r="L867" s="10">
        <f>G867/F867</f>
        <v>2.6903416733925207E-4</v>
      </c>
      <c r="M867" s="14">
        <f>IFERROR(ROUND(I867/G867,2),0)</f>
        <v>1</v>
      </c>
      <c r="N867" s="11">
        <f>IFERROR(H867/G867,0)</f>
        <v>1.539999962</v>
      </c>
      <c r="O867" s="11">
        <f>IFERROR(H867/I867,0)</f>
        <v>1.539999962</v>
      </c>
      <c r="P867" s="11">
        <f>IFERROR((J867-H867)/H867,0)</f>
        <v>54.194806556754969</v>
      </c>
    </row>
    <row r="868" spans="1:16">
      <c r="A868">
        <v>951392</v>
      </c>
      <c r="B868" t="s">
        <v>161</v>
      </c>
      <c r="C868" t="s">
        <v>0</v>
      </c>
      <c r="D868" t="s">
        <v>5</v>
      </c>
      <c r="E868" s="14">
        <v>28</v>
      </c>
      <c r="F868" s="14">
        <v>2749</v>
      </c>
      <c r="G868" s="14">
        <v>1</v>
      </c>
      <c r="H868" s="13">
        <v>1.3899999860000001</v>
      </c>
      <c r="I868" s="14">
        <v>1</v>
      </c>
      <c r="J868" s="11">
        <f>I868*85</f>
        <v>85</v>
      </c>
      <c r="K868" s="11">
        <f>J868-H868</f>
        <v>83.610000013999993</v>
      </c>
      <c r="L868" s="10">
        <f>G868/F868</f>
        <v>3.6376864314296108E-4</v>
      </c>
      <c r="M868" s="14">
        <f>IFERROR(ROUND(I868/G868,2),0)</f>
        <v>1</v>
      </c>
      <c r="N868" s="11">
        <f>IFERROR(H868/G868,0)</f>
        <v>1.3899999860000001</v>
      </c>
      <c r="O868" s="11">
        <f>IFERROR(H868/I868,0)</f>
        <v>1.3899999860000001</v>
      </c>
      <c r="P868" s="11">
        <f>IFERROR((J868-H868)/H868,0)</f>
        <v>60.151079752600793</v>
      </c>
    </row>
    <row r="869" spans="1:16">
      <c r="A869">
        <v>951444</v>
      </c>
      <c r="B869" t="s">
        <v>161</v>
      </c>
      <c r="C869" t="s">
        <v>0</v>
      </c>
      <c r="D869" t="s">
        <v>5</v>
      </c>
      <c r="E869" s="14">
        <v>25</v>
      </c>
      <c r="F869" s="14">
        <v>2983</v>
      </c>
      <c r="G869" s="14">
        <v>1</v>
      </c>
      <c r="H869" s="13">
        <v>0.97000002900000004</v>
      </c>
      <c r="I869" s="14">
        <v>1</v>
      </c>
      <c r="J869" s="11">
        <f>I869*85</f>
        <v>85</v>
      </c>
      <c r="K869" s="11">
        <f>J869-H869</f>
        <v>84.029999970999995</v>
      </c>
      <c r="L869" s="10">
        <f>G869/F869</f>
        <v>3.3523298692591353E-4</v>
      </c>
      <c r="M869" s="14">
        <f>IFERROR(ROUND(I869/G869,2),0)</f>
        <v>1</v>
      </c>
      <c r="N869" s="11">
        <f>IFERROR(H869/G869,0)</f>
        <v>0.97000002900000004</v>
      </c>
      <c r="O869" s="11">
        <f>IFERROR(H869/I869,0)</f>
        <v>0.97000002900000004</v>
      </c>
      <c r="P869" s="11">
        <f>IFERROR((J869-H869)/H869,0)</f>
        <v>86.628863359549442</v>
      </c>
    </row>
    <row r="870" spans="1:16">
      <c r="A870">
        <v>951464</v>
      </c>
      <c r="B870" t="s">
        <v>161</v>
      </c>
      <c r="C870" t="s">
        <v>4</v>
      </c>
      <c r="D870" t="s">
        <v>5</v>
      </c>
      <c r="E870" s="14">
        <v>16</v>
      </c>
      <c r="F870" s="14">
        <v>20997</v>
      </c>
      <c r="G870" s="14">
        <v>10</v>
      </c>
      <c r="H870" s="13">
        <v>11.94999981</v>
      </c>
      <c r="I870" s="14">
        <v>1</v>
      </c>
      <c r="J870" s="11">
        <f>I870*85</f>
        <v>85</v>
      </c>
      <c r="K870" s="11">
        <f>J870-H870</f>
        <v>73.050000190000006</v>
      </c>
      <c r="L870" s="10">
        <f>G870/F870</f>
        <v>4.7625851312092202E-4</v>
      </c>
      <c r="M870" s="14">
        <f>IFERROR(ROUND(I870/G870,2),0)</f>
        <v>0.1</v>
      </c>
      <c r="N870" s="11">
        <f>IFERROR(H870/G870,0)</f>
        <v>1.194999981</v>
      </c>
      <c r="O870" s="11">
        <f>IFERROR(H870/I870,0)</f>
        <v>11.94999981</v>
      </c>
      <c r="P870" s="11">
        <f>IFERROR((J870-H870)/H870,0)</f>
        <v>6.1129708243903318</v>
      </c>
    </row>
    <row r="871" spans="1:16">
      <c r="A871">
        <v>951465</v>
      </c>
      <c r="B871" t="s">
        <v>161</v>
      </c>
      <c r="C871" t="s">
        <v>4</v>
      </c>
      <c r="D871" t="s">
        <v>5</v>
      </c>
      <c r="E871" s="14">
        <v>16</v>
      </c>
      <c r="F871" s="14">
        <v>4617</v>
      </c>
      <c r="G871" s="14">
        <v>1</v>
      </c>
      <c r="H871" s="13">
        <v>1.3600000139999999</v>
      </c>
      <c r="I871" s="14">
        <v>1</v>
      </c>
      <c r="J871" s="11">
        <f>I871*85</f>
        <v>85</v>
      </c>
      <c r="K871" s="11">
        <f>J871-H871</f>
        <v>83.639999986000007</v>
      </c>
      <c r="L871" s="10">
        <f>G871/F871</f>
        <v>2.1659085986571366E-4</v>
      </c>
      <c r="M871" s="14">
        <f>IFERROR(ROUND(I871/G871,2),0)</f>
        <v>1</v>
      </c>
      <c r="N871" s="11">
        <f>IFERROR(H871/G871,0)</f>
        <v>1.3600000139999999</v>
      </c>
      <c r="O871" s="11">
        <f>IFERROR(H871/I871,0)</f>
        <v>1.3600000139999999</v>
      </c>
      <c r="P871" s="11">
        <f>IFERROR((J871-H871)/H871,0)</f>
        <v>61.499999356617664</v>
      </c>
    </row>
    <row r="872" spans="1:16">
      <c r="A872">
        <v>951608</v>
      </c>
      <c r="B872" t="s">
        <v>161</v>
      </c>
      <c r="C872" t="s">
        <v>3</v>
      </c>
      <c r="D872" t="s">
        <v>5</v>
      </c>
      <c r="E872" s="14">
        <v>10</v>
      </c>
      <c r="F872" s="14">
        <v>3149</v>
      </c>
      <c r="G872" s="14">
        <v>1</v>
      </c>
      <c r="H872" s="13">
        <v>1.480000019</v>
      </c>
      <c r="I872" s="14">
        <v>1</v>
      </c>
      <c r="J872" s="11">
        <f>I872*85</f>
        <v>85</v>
      </c>
      <c r="K872" s="11">
        <f>J872-H872</f>
        <v>83.519999980999998</v>
      </c>
      <c r="L872" s="10">
        <f>G872/F872</f>
        <v>3.1756113051762465E-4</v>
      </c>
      <c r="M872" s="14">
        <f>IFERROR(ROUND(I872/G872,2),0)</f>
        <v>1</v>
      </c>
      <c r="N872" s="11">
        <f>IFERROR(H872/G872,0)</f>
        <v>1.480000019</v>
      </c>
      <c r="O872" s="11">
        <f>IFERROR(H872/I872,0)</f>
        <v>1.480000019</v>
      </c>
      <c r="P872" s="11">
        <f>IFERROR((J872-H872)/H872,0)</f>
        <v>56.432431695124187</v>
      </c>
    </row>
    <row r="873" spans="1:16">
      <c r="A873">
        <v>951677</v>
      </c>
      <c r="B873" t="s">
        <v>161</v>
      </c>
      <c r="C873" t="s">
        <v>2</v>
      </c>
      <c r="D873" t="s">
        <v>5</v>
      </c>
      <c r="E873" s="14">
        <v>27</v>
      </c>
      <c r="F873" s="14">
        <v>2563</v>
      </c>
      <c r="G873" s="14">
        <v>1</v>
      </c>
      <c r="H873" s="13">
        <v>1.480000019</v>
      </c>
      <c r="I873" s="14">
        <v>1</v>
      </c>
      <c r="J873" s="11">
        <f>I873*85</f>
        <v>85</v>
      </c>
      <c r="K873" s="11">
        <f>J873-H873</f>
        <v>83.519999980999998</v>
      </c>
      <c r="L873" s="10">
        <f>G873/F873</f>
        <v>3.9016777214202108E-4</v>
      </c>
      <c r="M873" s="14">
        <f>IFERROR(ROUND(I873/G873,2),0)</f>
        <v>1</v>
      </c>
      <c r="N873" s="11">
        <f>IFERROR(H873/G873,0)</f>
        <v>1.480000019</v>
      </c>
      <c r="O873" s="11">
        <f>IFERROR(H873/I873,0)</f>
        <v>1.480000019</v>
      </c>
      <c r="P873" s="11">
        <f>IFERROR((J873-H873)/H873,0)</f>
        <v>56.432431695124187</v>
      </c>
    </row>
    <row r="874" spans="1:16">
      <c r="A874">
        <v>951715</v>
      </c>
      <c r="B874" t="s">
        <v>161</v>
      </c>
      <c r="C874" t="s">
        <v>4</v>
      </c>
      <c r="D874" t="s">
        <v>5</v>
      </c>
      <c r="E874" s="14">
        <v>64</v>
      </c>
      <c r="F874" s="14">
        <v>10677</v>
      </c>
      <c r="G874" s="14">
        <v>5</v>
      </c>
      <c r="H874" s="13">
        <v>7.2699999809999998</v>
      </c>
      <c r="I874" s="14">
        <v>1</v>
      </c>
      <c r="J874" s="11">
        <f>I874*85</f>
        <v>85</v>
      </c>
      <c r="K874" s="11">
        <f>J874-H874</f>
        <v>77.730000019000002</v>
      </c>
      <c r="L874" s="10">
        <f>G874/F874</f>
        <v>4.6829633792263745E-4</v>
      </c>
      <c r="M874" s="14">
        <f>IFERROR(ROUND(I874/G874,2),0)</f>
        <v>0.2</v>
      </c>
      <c r="N874" s="11">
        <f>IFERROR(H874/G874,0)</f>
        <v>1.4539999961999999</v>
      </c>
      <c r="O874" s="11">
        <f>IFERROR(H874/I874,0)</f>
        <v>7.2699999809999998</v>
      </c>
      <c r="P874" s="11">
        <f>IFERROR((J874-H874)/H874,0)</f>
        <v>10.691884487227759</v>
      </c>
    </row>
    <row r="875" spans="1:16">
      <c r="A875">
        <v>951756</v>
      </c>
      <c r="B875" t="s">
        <v>161</v>
      </c>
      <c r="C875" t="s">
        <v>2</v>
      </c>
      <c r="D875" t="s">
        <v>5</v>
      </c>
      <c r="E875" s="14">
        <v>22</v>
      </c>
      <c r="F875" s="14">
        <v>2189</v>
      </c>
      <c r="G875" s="14">
        <v>1</v>
      </c>
      <c r="H875" s="13">
        <v>0.40999999599999998</v>
      </c>
      <c r="I875" s="14">
        <v>1</v>
      </c>
      <c r="J875" s="11">
        <f>I875*85</f>
        <v>85</v>
      </c>
      <c r="K875" s="11">
        <f>J875-H875</f>
        <v>84.590000004000004</v>
      </c>
      <c r="L875" s="10">
        <f>G875/F875</f>
        <v>4.5682960255824577E-4</v>
      </c>
      <c r="M875" s="14">
        <f>IFERROR(ROUND(I875/G875,2),0)</f>
        <v>1</v>
      </c>
      <c r="N875" s="11">
        <f>IFERROR(H875/G875,0)</f>
        <v>0.40999999599999998</v>
      </c>
      <c r="O875" s="11">
        <f>IFERROR(H875/I875,0)</f>
        <v>0.40999999599999998</v>
      </c>
      <c r="P875" s="11">
        <f>IFERROR((J875-H875)/H875,0)</f>
        <v>206.31707519333733</v>
      </c>
    </row>
    <row r="876" spans="1:16">
      <c r="A876">
        <v>951779</v>
      </c>
      <c r="B876" t="s">
        <v>161</v>
      </c>
      <c r="C876" t="s">
        <v>4</v>
      </c>
      <c r="D876" t="s">
        <v>5</v>
      </c>
      <c r="E876" s="14">
        <v>27</v>
      </c>
      <c r="F876" s="14">
        <v>3277</v>
      </c>
      <c r="G876" s="14">
        <v>2</v>
      </c>
      <c r="H876" s="13">
        <v>2.6800000669999999</v>
      </c>
      <c r="I876" s="14">
        <v>1</v>
      </c>
      <c r="J876" s="11">
        <f>I876*85</f>
        <v>85</v>
      </c>
      <c r="K876" s="11">
        <f>J876-H876</f>
        <v>82.319999933000005</v>
      </c>
      <c r="L876" s="10">
        <f>G876/F876</f>
        <v>6.1031431187061336E-4</v>
      </c>
      <c r="M876" s="14">
        <f>IFERROR(ROUND(I876/G876,2),0)</f>
        <v>0.5</v>
      </c>
      <c r="N876" s="11">
        <f>IFERROR(H876/G876,0)</f>
        <v>1.3400000335</v>
      </c>
      <c r="O876" s="11">
        <f>IFERROR(H876/I876,0)</f>
        <v>2.6800000669999999</v>
      </c>
      <c r="P876" s="11">
        <f>IFERROR((J876-H876)/H876,0)</f>
        <v>30.716417117537336</v>
      </c>
    </row>
    <row r="877" spans="1:16">
      <c r="A877">
        <v>952001</v>
      </c>
      <c r="B877" t="s">
        <v>161</v>
      </c>
      <c r="C877" t="s">
        <v>4</v>
      </c>
      <c r="D877" t="s">
        <v>5</v>
      </c>
      <c r="E877" s="14">
        <v>10</v>
      </c>
      <c r="F877" s="14">
        <v>5447</v>
      </c>
      <c r="G877" s="14">
        <v>2</v>
      </c>
      <c r="H877" s="13">
        <v>2.960000038</v>
      </c>
      <c r="I877" s="14">
        <v>1</v>
      </c>
      <c r="J877" s="11">
        <f>I877*85</f>
        <v>85</v>
      </c>
      <c r="K877" s="11">
        <f>J877-H877</f>
        <v>82.039999961999996</v>
      </c>
      <c r="L877" s="10">
        <f>G877/F877</f>
        <v>3.6717459151826694E-4</v>
      </c>
      <c r="M877" s="14">
        <f>IFERROR(ROUND(I877/G877,2),0)</f>
        <v>0.5</v>
      </c>
      <c r="N877" s="11">
        <f>IFERROR(H877/G877,0)</f>
        <v>1.480000019</v>
      </c>
      <c r="O877" s="11">
        <f>IFERROR(H877/I877,0)</f>
        <v>2.960000038</v>
      </c>
      <c r="P877" s="11">
        <f>IFERROR((J877-H877)/H877,0)</f>
        <v>27.716215847562093</v>
      </c>
    </row>
    <row r="878" spans="1:16">
      <c r="A878">
        <v>1121745</v>
      </c>
      <c r="B878" t="s">
        <v>162</v>
      </c>
      <c r="C878" t="s">
        <v>0</v>
      </c>
      <c r="D878" t="s">
        <v>5</v>
      </c>
      <c r="E878" s="14">
        <v>15</v>
      </c>
      <c r="F878" s="14">
        <v>182265</v>
      </c>
      <c r="G878" s="14">
        <v>27</v>
      </c>
      <c r="H878" s="13">
        <v>38.180000069999998</v>
      </c>
      <c r="I878" s="14">
        <v>1</v>
      </c>
      <c r="J878" s="11">
        <f>I878*85</f>
        <v>85</v>
      </c>
      <c r="K878" s="11">
        <f>J878-H878</f>
        <v>46.819999930000002</v>
      </c>
      <c r="L878" s="10">
        <f>G878/F878</f>
        <v>1.4813595588840424E-4</v>
      </c>
      <c r="M878" s="14">
        <f>IFERROR(ROUND(I878/G878,2),0)</f>
        <v>0.04</v>
      </c>
      <c r="N878" s="11">
        <f>IFERROR(H878/G878,0)</f>
        <v>1.4140740766666666</v>
      </c>
      <c r="O878" s="11">
        <f>IFERROR(H878/I878,0)</f>
        <v>38.180000069999998</v>
      </c>
      <c r="P878" s="11">
        <f>IFERROR((J878-H878)/H878,0)</f>
        <v>1.2262964862273245</v>
      </c>
    </row>
    <row r="879" spans="1:16">
      <c r="A879">
        <v>1121763</v>
      </c>
      <c r="B879" t="s">
        <v>162</v>
      </c>
      <c r="C879" t="s">
        <v>0</v>
      </c>
      <c r="D879" t="s">
        <v>5</v>
      </c>
      <c r="E879" s="14">
        <v>19</v>
      </c>
      <c r="F879" s="14">
        <v>87832</v>
      </c>
      <c r="G879" s="14">
        <v>11</v>
      </c>
      <c r="H879" s="13">
        <v>18.100000380000001</v>
      </c>
      <c r="I879" s="14">
        <v>1</v>
      </c>
      <c r="J879" s="11">
        <f>I879*85</f>
        <v>85</v>
      </c>
      <c r="K879" s="11">
        <f>J879-H879</f>
        <v>66.899999620000003</v>
      </c>
      <c r="L879" s="10">
        <f>G879/F879</f>
        <v>1.2523909281355315E-4</v>
      </c>
      <c r="M879" s="14">
        <f>IFERROR(ROUND(I879/G879,2),0)</f>
        <v>0.09</v>
      </c>
      <c r="N879" s="11">
        <f>IFERROR(H879/G879,0)</f>
        <v>1.64545458</v>
      </c>
      <c r="O879" s="11">
        <f>IFERROR(H879/I879,0)</f>
        <v>18.100000380000001</v>
      </c>
      <c r="P879" s="11">
        <f>IFERROR((J879-H879)/H879,0)</f>
        <v>3.6961324980922456</v>
      </c>
    </row>
    <row r="880" spans="1:16">
      <c r="A880">
        <v>1121835</v>
      </c>
      <c r="B880" t="s">
        <v>162</v>
      </c>
      <c r="C880" t="s">
        <v>0</v>
      </c>
      <c r="D880" t="s">
        <v>5</v>
      </c>
      <c r="E880" s="14">
        <v>31</v>
      </c>
      <c r="F880" s="14">
        <v>48935</v>
      </c>
      <c r="G880" s="14">
        <v>7</v>
      </c>
      <c r="H880" s="13">
        <v>9.9700002669999996</v>
      </c>
      <c r="I880" s="14">
        <v>1</v>
      </c>
      <c r="J880" s="11">
        <f>I880*85</f>
        <v>85</v>
      </c>
      <c r="K880" s="11">
        <f>J880-H880</f>
        <v>75.029999732999997</v>
      </c>
      <c r="L880" s="10">
        <f>G880/F880</f>
        <v>1.4304689894758353E-4</v>
      </c>
      <c r="M880" s="14">
        <f>IFERROR(ROUND(I880/G880,2),0)</f>
        <v>0.14000000000000001</v>
      </c>
      <c r="N880" s="11">
        <f>IFERROR(H880/G880,0)</f>
        <v>1.4242857524285715</v>
      </c>
      <c r="O880" s="11">
        <f>IFERROR(H880/I880,0)</f>
        <v>9.9700002669999996</v>
      </c>
      <c r="P880" s="11">
        <f>IFERROR((J880-H880)/H880,0)</f>
        <v>7.5255765018727256</v>
      </c>
    </row>
    <row r="881" spans="1:16">
      <c r="A881">
        <v>1121839</v>
      </c>
      <c r="B881" t="s">
        <v>162</v>
      </c>
      <c r="C881" t="s">
        <v>0</v>
      </c>
      <c r="D881" t="s">
        <v>5</v>
      </c>
      <c r="E881" s="14">
        <v>31</v>
      </c>
      <c r="F881" s="14">
        <v>13911</v>
      </c>
      <c r="G881" s="14">
        <v>1</v>
      </c>
      <c r="H881" s="13">
        <v>1.730000019</v>
      </c>
      <c r="I881" s="14">
        <v>1</v>
      </c>
      <c r="J881" s="11">
        <f>I881*85</f>
        <v>85</v>
      </c>
      <c r="K881" s="11">
        <f>J881-H881</f>
        <v>83.269999980999998</v>
      </c>
      <c r="L881" s="10">
        <f>G881/F881</f>
        <v>7.1885558191359353E-5</v>
      </c>
      <c r="M881" s="14">
        <f>IFERROR(ROUND(I881/G881,2),0)</f>
        <v>1</v>
      </c>
      <c r="N881" s="11">
        <f>IFERROR(H881/G881,0)</f>
        <v>1.730000019</v>
      </c>
      <c r="O881" s="11">
        <f>IFERROR(H881/I881,0)</f>
        <v>1.730000019</v>
      </c>
      <c r="P881" s="11">
        <f>IFERROR((J881-H881)/H881,0)</f>
        <v>48.132947437268207</v>
      </c>
    </row>
    <row r="882" spans="1:16">
      <c r="A882">
        <v>1121855</v>
      </c>
      <c r="B882" t="s">
        <v>162</v>
      </c>
      <c r="C882" t="s">
        <v>0</v>
      </c>
      <c r="D882" t="s">
        <v>5</v>
      </c>
      <c r="E882" s="14">
        <v>63</v>
      </c>
      <c r="F882" s="14">
        <v>24893</v>
      </c>
      <c r="G882" s="14">
        <v>2</v>
      </c>
      <c r="H882" s="13">
        <v>3.75</v>
      </c>
      <c r="I882" s="14">
        <v>1</v>
      </c>
      <c r="J882" s="11">
        <f>I882*85</f>
        <v>85</v>
      </c>
      <c r="K882" s="11">
        <f>J882-H882</f>
        <v>81.25</v>
      </c>
      <c r="L882" s="10">
        <f>G882/F882</f>
        <v>8.0343871771180648E-5</v>
      </c>
      <c r="M882" s="14">
        <f>IFERROR(ROUND(I882/G882,2),0)</f>
        <v>0.5</v>
      </c>
      <c r="N882" s="11">
        <f>IFERROR(H882/G882,0)</f>
        <v>1.875</v>
      </c>
      <c r="O882" s="11">
        <f>IFERROR(H882/I882,0)</f>
        <v>3.75</v>
      </c>
      <c r="P882" s="11">
        <f>IFERROR((J882-H882)/H882,0)</f>
        <v>21.666666666666668</v>
      </c>
    </row>
    <row r="883" spans="1:16">
      <c r="A883">
        <v>1121857</v>
      </c>
      <c r="B883" t="s">
        <v>162</v>
      </c>
      <c r="C883" t="s">
        <v>0</v>
      </c>
      <c r="D883" t="s">
        <v>5</v>
      </c>
      <c r="E883" s="14">
        <v>63</v>
      </c>
      <c r="F883" s="14">
        <v>91607</v>
      </c>
      <c r="G883" s="14">
        <v>12</v>
      </c>
      <c r="H883" s="13">
        <v>19.189999700000001</v>
      </c>
      <c r="I883" s="14">
        <v>1</v>
      </c>
      <c r="J883" s="11">
        <f>I883*85</f>
        <v>85</v>
      </c>
      <c r="K883" s="11">
        <f>J883-H883</f>
        <v>65.810000299999999</v>
      </c>
      <c r="L883" s="10">
        <f>G883/F883</f>
        <v>1.3099435632648161E-4</v>
      </c>
      <c r="M883" s="14">
        <f>IFERROR(ROUND(I883/G883,2),0)</f>
        <v>0.08</v>
      </c>
      <c r="N883" s="11">
        <f>IFERROR(H883/G883,0)</f>
        <v>1.5991666416666668</v>
      </c>
      <c r="O883" s="11">
        <f>IFERROR(H883/I883,0)</f>
        <v>19.189999700000001</v>
      </c>
      <c r="P883" s="11">
        <f>IFERROR((J883-H883)/H883,0)</f>
        <v>3.4293903766970875</v>
      </c>
    </row>
    <row r="884" spans="1:16">
      <c r="A884">
        <v>1121863</v>
      </c>
      <c r="B884" t="s">
        <v>162</v>
      </c>
      <c r="C884" t="s">
        <v>0</v>
      </c>
      <c r="D884" t="s">
        <v>5</v>
      </c>
      <c r="E884" s="14">
        <v>64</v>
      </c>
      <c r="F884" s="14">
        <v>94136</v>
      </c>
      <c r="G884" s="14">
        <v>11</v>
      </c>
      <c r="H884" s="13">
        <v>16.179999710000001</v>
      </c>
      <c r="I884" s="14">
        <v>1</v>
      </c>
      <c r="J884" s="11">
        <f>I884*85</f>
        <v>85</v>
      </c>
      <c r="K884" s="11">
        <f>J884-H884</f>
        <v>68.820000289999996</v>
      </c>
      <c r="L884" s="10">
        <f>G884/F884</f>
        <v>1.1685221381830543E-4</v>
      </c>
      <c r="M884" s="14">
        <f>IFERROR(ROUND(I884/G884,2),0)</f>
        <v>0.09</v>
      </c>
      <c r="N884" s="11">
        <f>IFERROR(H884/G884,0)</f>
        <v>1.4709090645454546</v>
      </c>
      <c r="O884" s="11">
        <f>IFERROR(H884/I884,0)</f>
        <v>16.179999710000001</v>
      </c>
      <c r="P884" s="11">
        <f>IFERROR((J884-H884)/H884,0)</f>
        <v>4.2533993525022131</v>
      </c>
    </row>
    <row r="885" spans="1:16">
      <c r="A885">
        <v>1121867</v>
      </c>
      <c r="B885" t="s">
        <v>162</v>
      </c>
      <c r="C885" t="s">
        <v>0</v>
      </c>
      <c r="D885" t="s">
        <v>5</v>
      </c>
      <c r="E885" s="14">
        <v>65</v>
      </c>
      <c r="F885" s="14">
        <v>82640</v>
      </c>
      <c r="G885" s="14">
        <v>16</v>
      </c>
      <c r="H885" s="13">
        <v>23.970000389999999</v>
      </c>
      <c r="I885" s="14">
        <v>1</v>
      </c>
      <c r="J885" s="11">
        <f>I885*85</f>
        <v>85</v>
      </c>
      <c r="K885" s="11">
        <f>J885-H885</f>
        <v>61.029999610000004</v>
      </c>
      <c r="L885" s="10">
        <f>G885/F885</f>
        <v>1.9361084220716361E-4</v>
      </c>
      <c r="M885" s="14">
        <f>IFERROR(ROUND(I885/G885,2),0)</f>
        <v>0.06</v>
      </c>
      <c r="N885" s="11">
        <f>IFERROR(H885/G885,0)</f>
        <v>1.4981250243749999</v>
      </c>
      <c r="O885" s="11">
        <f>IFERROR(H885/I885,0)</f>
        <v>23.970000389999999</v>
      </c>
      <c r="P885" s="11">
        <f>IFERROR((J885-H885)/H885,0)</f>
        <v>2.5460992330839094</v>
      </c>
    </row>
    <row r="886" spans="1:16">
      <c r="A886">
        <v>1121878</v>
      </c>
      <c r="B886" t="s">
        <v>162</v>
      </c>
      <c r="C886" t="s">
        <v>0</v>
      </c>
      <c r="D886" t="s">
        <v>5</v>
      </c>
      <c r="E886" s="14">
        <v>7</v>
      </c>
      <c r="F886" s="14">
        <v>45199</v>
      </c>
      <c r="G886" s="14">
        <v>7</v>
      </c>
      <c r="H886" s="13">
        <v>9.8099999429999993</v>
      </c>
      <c r="I886" s="14">
        <v>1</v>
      </c>
      <c r="J886" s="11">
        <f>I886*85</f>
        <v>85</v>
      </c>
      <c r="K886" s="11">
        <f>J886-H886</f>
        <v>75.190000057000006</v>
      </c>
      <c r="L886" s="10">
        <f>G886/F886</f>
        <v>1.5487068297971194E-4</v>
      </c>
      <c r="M886" s="14">
        <f>IFERROR(ROUND(I886/G886,2),0)</f>
        <v>0.14000000000000001</v>
      </c>
      <c r="N886" s="11">
        <f>IFERROR(H886/G886,0)</f>
        <v>1.4014285632857142</v>
      </c>
      <c r="O886" s="11">
        <f>IFERROR(H886/I886,0)</f>
        <v>9.8099999429999993</v>
      </c>
      <c r="P886" s="11">
        <f>IFERROR((J886-H886)/H886,0)</f>
        <v>7.6646279810279108</v>
      </c>
    </row>
    <row r="887" spans="1:16">
      <c r="A887">
        <v>1121889</v>
      </c>
      <c r="B887" t="s">
        <v>162</v>
      </c>
      <c r="C887" t="s">
        <v>2</v>
      </c>
      <c r="D887" t="s">
        <v>5</v>
      </c>
      <c r="E887" s="14">
        <v>10</v>
      </c>
      <c r="F887" s="14">
        <v>127546</v>
      </c>
      <c r="G887" s="14">
        <v>25</v>
      </c>
      <c r="H887" s="13">
        <v>38.940000410000003</v>
      </c>
      <c r="I887" s="14">
        <v>1</v>
      </c>
      <c r="J887" s="11">
        <f>I887*85</f>
        <v>85</v>
      </c>
      <c r="K887" s="11">
        <f>J887-H887</f>
        <v>46.059999589999997</v>
      </c>
      <c r="L887" s="10">
        <f>G887/F887</f>
        <v>1.9600771486365703E-4</v>
      </c>
      <c r="M887" s="14">
        <f>IFERROR(ROUND(I887/G887,2),0)</f>
        <v>0.04</v>
      </c>
      <c r="N887" s="11">
        <f>IFERROR(H887/G887,0)</f>
        <v>1.5576000164000001</v>
      </c>
      <c r="O887" s="11">
        <f>IFERROR(H887/I887,0)</f>
        <v>38.940000410000003</v>
      </c>
      <c r="P887" s="11">
        <f>IFERROR((J887-H887)/H887,0)</f>
        <v>1.1828453802011656</v>
      </c>
    </row>
    <row r="888" spans="1:16">
      <c r="A888">
        <v>1121897</v>
      </c>
      <c r="B888" t="s">
        <v>162</v>
      </c>
      <c r="C888" t="s">
        <v>2</v>
      </c>
      <c r="D888" t="s">
        <v>5</v>
      </c>
      <c r="E888" s="14">
        <v>15</v>
      </c>
      <c r="F888" s="14">
        <v>24664</v>
      </c>
      <c r="G888" s="14">
        <v>2</v>
      </c>
      <c r="H888" s="13">
        <v>2.6299999949999999</v>
      </c>
      <c r="I888" s="14">
        <v>1</v>
      </c>
      <c r="J888" s="11">
        <f>I888*85</f>
        <v>85</v>
      </c>
      <c r="K888" s="11">
        <f>J888-H888</f>
        <v>82.370000004999994</v>
      </c>
      <c r="L888" s="10">
        <f>G888/F888</f>
        <v>8.1089847551086601E-5</v>
      </c>
      <c r="M888" s="14">
        <f>IFERROR(ROUND(I888/G888,2),0)</f>
        <v>0.5</v>
      </c>
      <c r="N888" s="11">
        <f>IFERROR(H888/G888,0)</f>
        <v>1.3149999975</v>
      </c>
      <c r="O888" s="11">
        <f>IFERROR(H888/I888,0)</f>
        <v>2.6299999949999999</v>
      </c>
      <c r="P888" s="11">
        <f>IFERROR((J888-H888)/H888,0)</f>
        <v>31.319391696424699</v>
      </c>
    </row>
    <row r="889" spans="1:16">
      <c r="A889">
        <v>1121918</v>
      </c>
      <c r="B889" t="s">
        <v>162</v>
      </c>
      <c r="C889" t="s">
        <v>2</v>
      </c>
      <c r="D889" t="s">
        <v>5</v>
      </c>
      <c r="E889" s="14">
        <v>19</v>
      </c>
      <c r="F889" s="14">
        <v>320657</v>
      </c>
      <c r="G889" s="14">
        <v>77</v>
      </c>
      <c r="H889" s="13">
        <v>115.8800026</v>
      </c>
      <c r="I889" s="14">
        <v>1</v>
      </c>
      <c r="J889" s="11">
        <f>I889*85</f>
        <v>85</v>
      </c>
      <c r="K889" s="11">
        <f>J889-H889</f>
        <v>-30.880002599999997</v>
      </c>
      <c r="L889" s="10">
        <f>G889/F889</f>
        <v>2.401319790305529E-4</v>
      </c>
      <c r="M889" s="14">
        <f>IFERROR(ROUND(I889/G889,2),0)</f>
        <v>0.01</v>
      </c>
      <c r="N889" s="11">
        <f>IFERROR(H889/G889,0)</f>
        <v>1.5049350987012986</v>
      </c>
      <c r="O889" s="11">
        <f>IFERROR(H889/I889,0)</f>
        <v>115.8800026</v>
      </c>
      <c r="P889" s="11">
        <f>IFERROR((J889-H889)/H889,0)</f>
        <v>-0.26648258463190611</v>
      </c>
    </row>
    <row r="890" spans="1:16">
      <c r="A890">
        <v>1121931</v>
      </c>
      <c r="B890" t="s">
        <v>162</v>
      </c>
      <c r="C890" t="s">
        <v>2</v>
      </c>
      <c r="D890" t="s">
        <v>5</v>
      </c>
      <c r="E890" s="14">
        <v>22</v>
      </c>
      <c r="F890" s="14">
        <v>78468</v>
      </c>
      <c r="G890" s="14">
        <v>15</v>
      </c>
      <c r="H890" s="13">
        <v>23.649999619999999</v>
      </c>
      <c r="I890" s="14">
        <v>1</v>
      </c>
      <c r="J890" s="11">
        <f>I890*85</f>
        <v>85</v>
      </c>
      <c r="K890" s="11">
        <f>J890-H890</f>
        <v>61.350000379999997</v>
      </c>
      <c r="L890" s="10">
        <f>G890/F890</f>
        <v>1.9116072794005199E-4</v>
      </c>
      <c r="M890" s="14">
        <f>IFERROR(ROUND(I890/G890,2),0)</f>
        <v>7.0000000000000007E-2</v>
      </c>
      <c r="N890" s="11">
        <f>IFERROR(H890/G890,0)</f>
        <v>1.5766666413333332</v>
      </c>
      <c r="O890" s="11">
        <f>IFERROR(H890/I890,0)</f>
        <v>23.649999619999999</v>
      </c>
      <c r="P890" s="11">
        <f>IFERROR((J890-H890)/H890,0)</f>
        <v>2.5940803960148222</v>
      </c>
    </row>
    <row r="891" spans="1:16">
      <c r="A891">
        <v>1121944</v>
      </c>
      <c r="B891" t="s">
        <v>162</v>
      </c>
      <c r="C891" t="s">
        <v>2</v>
      </c>
      <c r="D891" t="s">
        <v>5</v>
      </c>
      <c r="E891" s="14">
        <v>24</v>
      </c>
      <c r="F891" s="14">
        <v>109723</v>
      </c>
      <c r="G891" s="14">
        <v>27</v>
      </c>
      <c r="H891" s="13">
        <v>40.960000399999998</v>
      </c>
      <c r="I891" s="14">
        <v>1</v>
      </c>
      <c r="J891" s="11">
        <f>I891*85</f>
        <v>85</v>
      </c>
      <c r="K891" s="11">
        <f>J891-H891</f>
        <v>44.039999600000002</v>
      </c>
      <c r="L891" s="10">
        <f>G891/F891</f>
        <v>2.4607420504360979E-4</v>
      </c>
      <c r="M891" s="14">
        <f>IFERROR(ROUND(I891/G891,2),0)</f>
        <v>0.04</v>
      </c>
      <c r="N891" s="11">
        <f>IFERROR(H891/G891,0)</f>
        <v>1.5170370518518519</v>
      </c>
      <c r="O891" s="11">
        <f>IFERROR(H891/I891,0)</f>
        <v>40.960000399999998</v>
      </c>
      <c r="P891" s="11">
        <f>IFERROR((J891-H891)/H891,0)</f>
        <v>1.075195292234421</v>
      </c>
    </row>
    <row r="892" spans="1:16">
      <c r="A892">
        <v>1121955</v>
      </c>
      <c r="B892" t="s">
        <v>162</v>
      </c>
      <c r="C892" t="s">
        <v>2</v>
      </c>
      <c r="D892" t="s">
        <v>5</v>
      </c>
      <c r="E892" s="14">
        <v>26</v>
      </c>
      <c r="F892" s="14">
        <v>182098</v>
      </c>
      <c r="G892" s="14">
        <v>40</v>
      </c>
      <c r="H892" s="13">
        <v>62.869999890000003</v>
      </c>
      <c r="I892" s="14">
        <v>1</v>
      </c>
      <c r="J892" s="11">
        <f>I892*85</f>
        <v>85</v>
      </c>
      <c r="K892" s="11">
        <f>J892-H892</f>
        <v>22.130000109999997</v>
      </c>
      <c r="L892" s="10">
        <f>G892/F892</f>
        <v>2.1966194027391844E-4</v>
      </c>
      <c r="M892" s="14">
        <f>IFERROR(ROUND(I892/G892,2),0)</f>
        <v>0.03</v>
      </c>
      <c r="N892" s="11">
        <f>IFERROR(H892/G892,0)</f>
        <v>1.57174999725</v>
      </c>
      <c r="O892" s="11">
        <f>IFERROR(H892/I892,0)</f>
        <v>62.869999890000003</v>
      </c>
      <c r="P892" s="11">
        <f>IFERROR((J892-H892)/H892,0)</f>
        <v>0.35199618496452323</v>
      </c>
    </row>
    <row r="893" spans="1:16">
      <c r="A893">
        <v>1122079</v>
      </c>
      <c r="B893" t="s">
        <v>162</v>
      </c>
      <c r="C893" t="s">
        <v>3</v>
      </c>
      <c r="D893" t="s">
        <v>5</v>
      </c>
      <c r="E893" s="14">
        <v>21</v>
      </c>
      <c r="F893" s="14">
        <v>25382</v>
      </c>
      <c r="G893" s="14">
        <v>7</v>
      </c>
      <c r="H893" s="13">
        <v>9.6099998949999996</v>
      </c>
      <c r="I893" s="14">
        <v>1</v>
      </c>
      <c r="J893" s="11">
        <f>I893*85</f>
        <v>85</v>
      </c>
      <c r="K893" s="11">
        <f>J893-H893</f>
        <v>75.390000104999999</v>
      </c>
      <c r="L893" s="10">
        <f>G893/F893</f>
        <v>2.7578599007170438E-4</v>
      </c>
      <c r="M893" s="14">
        <f>IFERROR(ROUND(I893/G893,2),0)</f>
        <v>0.14000000000000001</v>
      </c>
      <c r="N893" s="11">
        <f>IFERROR(H893/G893,0)</f>
        <v>1.3728571278571429</v>
      </c>
      <c r="O893" s="11">
        <f>IFERROR(H893/I893,0)</f>
        <v>9.6099998949999996</v>
      </c>
      <c r="P893" s="11">
        <f>IFERROR((J893-H893)/H893,0)</f>
        <v>7.8449532704183245</v>
      </c>
    </row>
    <row r="894" spans="1:16">
      <c r="A894">
        <v>1122140</v>
      </c>
      <c r="B894" t="s">
        <v>162</v>
      </c>
      <c r="C894" t="s">
        <v>3</v>
      </c>
      <c r="D894" t="s">
        <v>5</v>
      </c>
      <c r="E894" s="14">
        <v>31</v>
      </c>
      <c r="F894" s="14">
        <v>81551</v>
      </c>
      <c r="G894" s="14">
        <v>21</v>
      </c>
      <c r="H894" s="13">
        <v>29.670000080000001</v>
      </c>
      <c r="I894" s="14">
        <v>1</v>
      </c>
      <c r="J894" s="11">
        <f>I894*85</f>
        <v>85</v>
      </c>
      <c r="K894" s="11">
        <f>J894-H894</f>
        <v>55.329999919999999</v>
      </c>
      <c r="L894" s="10">
        <f>G894/F894</f>
        <v>2.5750757194884183E-4</v>
      </c>
      <c r="M894" s="14">
        <f>IFERROR(ROUND(I894/G894,2),0)</f>
        <v>0.05</v>
      </c>
      <c r="N894" s="11">
        <f>IFERROR(H894/G894,0)</f>
        <v>1.4128571466666666</v>
      </c>
      <c r="O894" s="11">
        <f>IFERROR(H894/I894,0)</f>
        <v>29.670000080000001</v>
      </c>
      <c r="P894" s="11">
        <f>IFERROR((J894-H894)/H894,0)</f>
        <v>1.8648466387196585</v>
      </c>
    </row>
    <row r="895" spans="1:16">
      <c r="A895">
        <v>1122146</v>
      </c>
      <c r="B895" t="s">
        <v>162</v>
      </c>
      <c r="C895" t="s">
        <v>3</v>
      </c>
      <c r="D895" t="s">
        <v>5</v>
      </c>
      <c r="E895" s="14">
        <v>32</v>
      </c>
      <c r="F895" s="14">
        <v>319501</v>
      </c>
      <c r="G895" s="14">
        <v>79</v>
      </c>
      <c r="H895" s="13">
        <v>111.6500003</v>
      </c>
      <c r="I895" s="14">
        <v>1</v>
      </c>
      <c r="J895" s="11">
        <f>I895*85</f>
        <v>85</v>
      </c>
      <c r="K895" s="11">
        <f>J895-H895</f>
        <v>-26.650000300000002</v>
      </c>
      <c r="L895" s="10">
        <f>G895/F895</f>
        <v>2.4726057195439136E-4</v>
      </c>
      <c r="M895" s="14">
        <f>IFERROR(ROUND(I895/G895,2),0)</f>
        <v>0.01</v>
      </c>
      <c r="N895" s="11">
        <f>IFERROR(H895/G895,0)</f>
        <v>1.4132911430379747</v>
      </c>
      <c r="O895" s="11">
        <f>IFERROR(H895/I895,0)</f>
        <v>111.6500003</v>
      </c>
      <c r="P895" s="11">
        <f>IFERROR((J895-H895)/H895,0)</f>
        <v>-0.23869234418622748</v>
      </c>
    </row>
    <row r="896" spans="1:16">
      <c r="A896">
        <v>1122149</v>
      </c>
      <c r="B896" t="s">
        <v>162</v>
      </c>
      <c r="C896" t="s">
        <v>3</v>
      </c>
      <c r="D896" t="s">
        <v>5</v>
      </c>
      <c r="E896" s="14">
        <v>36</v>
      </c>
      <c r="F896" s="14">
        <v>72741</v>
      </c>
      <c r="G896" s="14">
        <v>19</v>
      </c>
      <c r="H896" s="13">
        <v>24.330000160000001</v>
      </c>
      <c r="I896" s="14">
        <v>1</v>
      </c>
      <c r="J896" s="11">
        <f>I896*85</f>
        <v>85</v>
      </c>
      <c r="K896" s="11">
        <f>J896-H896</f>
        <v>60.669999840000003</v>
      </c>
      <c r="L896" s="10">
        <f>G896/F896</f>
        <v>2.6120069836818301E-4</v>
      </c>
      <c r="M896" s="14">
        <f>IFERROR(ROUND(I896/G896,2),0)</f>
        <v>0.05</v>
      </c>
      <c r="N896" s="11">
        <f>IFERROR(H896/G896,0)</f>
        <v>1.2805263242105263</v>
      </c>
      <c r="O896" s="11">
        <f>IFERROR(H896/I896,0)</f>
        <v>24.330000160000001</v>
      </c>
      <c r="P896" s="11">
        <f>IFERROR((J896-H896)/H896,0)</f>
        <v>2.4936292413078225</v>
      </c>
    </row>
    <row r="897" spans="1:16">
      <c r="A897">
        <v>1122157</v>
      </c>
      <c r="B897" t="s">
        <v>162</v>
      </c>
      <c r="C897" t="s">
        <v>3</v>
      </c>
      <c r="D897" t="s">
        <v>5</v>
      </c>
      <c r="E897" s="14">
        <v>63</v>
      </c>
      <c r="F897" s="14">
        <v>98768</v>
      </c>
      <c r="G897" s="14">
        <v>21</v>
      </c>
      <c r="H897" s="13">
        <v>33.14000034</v>
      </c>
      <c r="I897" s="14">
        <v>1</v>
      </c>
      <c r="J897" s="11">
        <f>I897*85</f>
        <v>85</v>
      </c>
      <c r="K897" s="11">
        <f>J897-H897</f>
        <v>51.85999966</v>
      </c>
      <c r="L897" s="10">
        <f>G897/F897</f>
        <v>2.1261947189373076E-4</v>
      </c>
      <c r="M897" s="14">
        <f>IFERROR(ROUND(I897/G897,2),0)</f>
        <v>0.05</v>
      </c>
      <c r="N897" s="11">
        <f>IFERROR(H897/G897,0)</f>
        <v>1.5780952542857143</v>
      </c>
      <c r="O897" s="11">
        <f>IFERROR(H897/I897,0)</f>
        <v>33.14000034</v>
      </c>
      <c r="P897" s="11">
        <f>IFERROR((J897-H897)/H897,0)</f>
        <v>1.5648762561237801</v>
      </c>
    </row>
    <row r="898" spans="1:16">
      <c r="A898">
        <v>1122202</v>
      </c>
      <c r="B898" t="s">
        <v>162</v>
      </c>
      <c r="C898" t="s">
        <v>4</v>
      </c>
      <c r="D898" t="s">
        <v>5</v>
      </c>
      <c r="E898" s="14">
        <v>16</v>
      </c>
      <c r="F898" s="14">
        <v>906151</v>
      </c>
      <c r="G898" s="14">
        <v>202</v>
      </c>
      <c r="H898" s="13">
        <v>295.54999570000001</v>
      </c>
      <c r="I898" s="14">
        <v>1</v>
      </c>
      <c r="J898" s="11">
        <f>I898*85</f>
        <v>85</v>
      </c>
      <c r="K898" s="11">
        <f>J898-H898</f>
        <v>-210.54999570000001</v>
      </c>
      <c r="L898" s="10">
        <f>G898/F898</f>
        <v>2.2292090391115829E-4</v>
      </c>
      <c r="M898" s="14">
        <f>IFERROR(ROUND(I898/G898,2),0)</f>
        <v>0</v>
      </c>
      <c r="N898" s="11">
        <f>IFERROR(H898/G898,0)</f>
        <v>1.4631187905940595</v>
      </c>
      <c r="O898" s="11">
        <f>IFERROR(H898/I898,0)</f>
        <v>295.54999570000001</v>
      </c>
      <c r="P898" s="11">
        <f>IFERROR((J898-H898)/H898,0)</f>
        <v>-0.71240060484967893</v>
      </c>
    </row>
    <row r="899" spans="1:16">
      <c r="A899">
        <v>1122225</v>
      </c>
      <c r="B899" t="s">
        <v>162</v>
      </c>
      <c r="C899" t="s">
        <v>4</v>
      </c>
      <c r="D899" t="s">
        <v>5</v>
      </c>
      <c r="E899" s="14">
        <v>21</v>
      </c>
      <c r="F899" s="14">
        <v>40998</v>
      </c>
      <c r="G899" s="14">
        <v>10</v>
      </c>
      <c r="H899" s="13">
        <v>13.350000380000001</v>
      </c>
      <c r="I899" s="14">
        <v>1</v>
      </c>
      <c r="J899" s="11">
        <f>I899*85</f>
        <v>85</v>
      </c>
      <c r="K899" s="11">
        <f>J899-H899</f>
        <v>71.649999620000003</v>
      </c>
      <c r="L899" s="10">
        <f>G899/F899</f>
        <v>2.4391433728474559E-4</v>
      </c>
      <c r="M899" s="14">
        <f>IFERROR(ROUND(I899/G899,2),0)</f>
        <v>0.1</v>
      </c>
      <c r="N899" s="11">
        <f>IFERROR(H899/G899,0)</f>
        <v>1.335000038</v>
      </c>
      <c r="O899" s="11">
        <f>IFERROR(H899/I899,0)</f>
        <v>13.350000380000001</v>
      </c>
      <c r="P899" s="11">
        <f>IFERROR((J899-H899)/H899,0)</f>
        <v>5.3670410172677459</v>
      </c>
    </row>
    <row r="900" spans="1:16">
      <c r="A900">
        <v>1122246</v>
      </c>
      <c r="B900" t="s">
        <v>162</v>
      </c>
      <c r="C900" t="s">
        <v>4</v>
      </c>
      <c r="D900" t="s">
        <v>5</v>
      </c>
      <c r="E900" s="14">
        <v>24</v>
      </c>
      <c r="F900" s="14">
        <v>14167</v>
      </c>
      <c r="G900" s="14">
        <v>5</v>
      </c>
      <c r="H900" s="13">
        <v>7.1399999860000003</v>
      </c>
      <c r="I900" s="14">
        <v>1</v>
      </c>
      <c r="J900" s="11">
        <f>I900*85</f>
        <v>85</v>
      </c>
      <c r="K900" s="11">
        <f>J900-H900</f>
        <v>77.860000013999993</v>
      </c>
      <c r="L900" s="10">
        <f>G900/F900</f>
        <v>3.5293287216771368E-4</v>
      </c>
      <c r="M900" s="14">
        <f>IFERROR(ROUND(I900/G900,2),0)</f>
        <v>0.2</v>
      </c>
      <c r="N900" s="11">
        <f>IFERROR(H900/G900,0)</f>
        <v>1.4279999972000001</v>
      </c>
      <c r="O900" s="11">
        <f>IFERROR(H900/I900,0)</f>
        <v>7.1399999860000003</v>
      </c>
      <c r="P900" s="11">
        <f>IFERROR((J900-H900)/H900,0)</f>
        <v>10.904761928104573</v>
      </c>
    </row>
    <row r="901" spans="1:16">
      <c r="A901">
        <v>1122279</v>
      </c>
      <c r="B901" t="s">
        <v>162</v>
      </c>
      <c r="C901" t="s">
        <v>4</v>
      </c>
      <c r="D901" t="s">
        <v>5</v>
      </c>
      <c r="E901" s="14">
        <v>30</v>
      </c>
      <c r="F901" s="14">
        <v>113567</v>
      </c>
      <c r="G901" s="14">
        <v>34</v>
      </c>
      <c r="H901" s="13">
        <v>50.29000044</v>
      </c>
      <c r="I901" s="14">
        <v>1</v>
      </c>
      <c r="J901" s="11">
        <f>I901*85</f>
        <v>85</v>
      </c>
      <c r="K901" s="11">
        <f>J901-H901</f>
        <v>34.70999956</v>
      </c>
      <c r="L901" s="10">
        <f>G901/F901</f>
        <v>2.9938274322646545E-4</v>
      </c>
      <c r="M901" s="14">
        <f>IFERROR(ROUND(I901/G901,2),0)</f>
        <v>0.03</v>
      </c>
      <c r="N901" s="11">
        <f>IFERROR(H901/G901,0)</f>
        <v>1.47911766</v>
      </c>
      <c r="O901" s="11">
        <f>IFERROR(H901/I901,0)</f>
        <v>50.29000044</v>
      </c>
      <c r="P901" s="11">
        <f>IFERROR((J901-H901)/H901,0)</f>
        <v>0.69019684343434851</v>
      </c>
    </row>
    <row r="902" spans="1:16">
      <c r="A902">
        <v>1122316</v>
      </c>
      <c r="B902" t="s">
        <v>162</v>
      </c>
      <c r="C902" t="s">
        <v>4</v>
      </c>
      <c r="D902" t="s">
        <v>5</v>
      </c>
      <c r="E902" s="14">
        <v>65</v>
      </c>
      <c r="F902" s="14">
        <v>346688</v>
      </c>
      <c r="G902" s="14">
        <v>88</v>
      </c>
      <c r="H902" s="13">
        <v>114.8599998</v>
      </c>
      <c r="I902" s="14">
        <v>1</v>
      </c>
      <c r="J902" s="11">
        <f>I902*85</f>
        <v>85</v>
      </c>
      <c r="K902" s="11">
        <f>J902-H902</f>
        <v>-29.859999799999997</v>
      </c>
      <c r="L902" s="10">
        <f>G902/F902</f>
        <v>2.5383053350563043E-4</v>
      </c>
      <c r="M902" s="14">
        <f>IFERROR(ROUND(I902/G902,2),0)</f>
        <v>0.01</v>
      </c>
      <c r="N902" s="11">
        <f>IFERROR(H902/G902,0)</f>
        <v>1.3052272704545453</v>
      </c>
      <c r="O902" s="11">
        <f>IFERROR(H902/I902,0)</f>
        <v>114.8599998</v>
      </c>
      <c r="P902" s="11">
        <f>IFERROR((J902-H902)/H902,0)</f>
        <v>-0.25996865620750242</v>
      </c>
    </row>
    <row r="903" spans="1:16">
      <c r="A903">
        <v>1314382</v>
      </c>
      <c r="B903" t="s">
        <v>162</v>
      </c>
      <c r="C903" t="s">
        <v>2</v>
      </c>
      <c r="D903" t="s">
        <v>5</v>
      </c>
      <c r="E903" s="14">
        <v>111</v>
      </c>
      <c r="F903" s="14">
        <v>99810</v>
      </c>
      <c r="G903" s="14">
        <v>14</v>
      </c>
      <c r="H903" s="13">
        <v>20.050000189999999</v>
      </c>
      <c r="I903" s="14">
        <v>1</v>
      </c>
      <c r="J903" s="11">
        <f>I903*85</f>
        <v>85</v>
      </c>
      <c r="K903" s="11">
        <f>J903-H903</f>
        <v>64.949999810000008</v>
      </c>
      <c r="L903" s="10">
        <f>G903/F903</f>
        <v>1.4026650636208798E-4</v>
      </c>
      <c r="M903" s="14">
        <f>IFERROR(ROUND(I903/G903,2),0)</f>
        <v>7.0000000000000007E-2</v>
      </c>
      <c r="N903" s="11">
        <f>IFERROR(H903/G903,0)</f>
        <v>1.4321428707142856</v>
      </c>
      <c r="O903" s="11">
        <f>IFERROR(H903/I903,0)</f>
        <v>20.050000189999999</v>
      </c>
      <c r="P903" s="11">
        <f>IFERROR((J903-H903)/H903,0)</f>
        <v>3.2394014560854729</v>
      </c>
    </row>
    <row r="904" spans="1:16">
      <c r="A904">
        <v>1314403</v>
      </c>
      <c r="B904" t="s">
        <v>162</v>
      </c>
      <c r="C904" t="s">
        <v>4</v>
      </c>
      <c r="D904" t="s">
        <v>5</v>
      </c>
      <c r="E904" s="14">
        <v>102</v>
      </c>
      <c r="F904" s="14">
        <v>168714</v>
      </c>
      <c r="G904" s="14">
        <v>24</v>
      </c>
      <c r="H904" s="13">
        <v>36.01000071</v>
      </c>
      <c r="I904" s="14">
        <v>1</v>
      </c>
      <c r="J904" s="11">
        <f>I904*85</f>
        <v>85</v>
      </c>
      <c r="K904" s="11">
        <f>J904-H904</f>
        <v>48.98999929</v>
      </c>
      <c r="L904" s="10">
        <f>G904/F904</f>
        <v>1.4225256943703547E-4</v>
      </c>
      <c r="M904" s="14">
        <f>IFERROR(ROUND(I904/G904,2),0)</f>
        <v>0.04</v>
      </c>
      <c r="N904" s="11">
        <f>IFERROR(H904/G904,0)</f>
        <v>1.5004166962500001</v>
      </c>
      <c r="O904" s="11">
        <f>IFERROR(H904/I904,0)</f>
        <v>36.01000071</v>
      </c>
      <c r="P904" s="11">
        <f>IFERROR((J904-H904)/H904,0)</f>
        <v>1.3604553825069892</v>
      </c>
    </row>
    <row r="905" spans="1:16">
      <c r="A905">
        <v>1314412</v>
      </c>
      <c r="B905" t="s">
        <v>162</v>
      </c>
      <c r="C905" t="s">
        <v>4</v>
      </c>
      <c r="D905" t="s">
        <v>5</v>
      </c>
      <c r="E905" s="14">
        <v>111</v>
      </c>
      <c r="F905" s="14">
        <v>151531</v>
      </c>
      <c r="G905" s="14">
        <v>28</v>
      </c>
      <c r="H905" s="13">
        <v>40.28999949</v>
      </c>
      <c r="I905" s="14">
        <v>1</v>
      </c>
      <c r="J905" s="11">
        <f>I905*85</f>
        <v>85</v>
      </c>
      <c r="K905" s="11">
        <f>J905-H905</f>
        <v>44.71000051</v>
      </c>
      <c r="L905" s="10">
        <f>G905/F905</f>
        <v>1.8478067194171489E-4</v>
      </c>
      <c r="M905" s="14">
        <f>IFERROR(ROUND(I905/G905,2),0)</f>
        <v>0.04</v>
      </c>
      <c r="N905" s="11">
        <f>IFERROR(H905/G905,0)</f>
        <v>1.4389285532142857</v>
      </c>
      <c r="O905" s="11">
        <f>IFERROR(H905/I905,0)</f>
        <v>40.28999949</v>
      </c>
      <c r="P905" s="11">
        <f>IFERROR((J905-H905)/H905,0)</f>
        <v>1.1097046680553333</v>
      </c>
    </row>
    <row r="906" spans="1:16">
      <c r="A906">
        <v>708771</v>
      </c>
      <c r="B906" t="s">
        <v>160</v>
      </c>
      <c r="C906" t="s">
        <v>0</v>
      </c>
      <c r="D906" t="s">
        <v>1</v>
      </c>
      <c r="E906" s="14">
        <v>20</v>
      </c>
      <c r="F906" s="14">
        <v>693</v>
      </c>
      <c r="G906" s="14">
        <v>0</v>
      </c>
      <c r="H906" s="13">
        <v>0</v>
      </c>
      <c r="I906" s="14">
        <v>0</v>
      </c>
      <c r="J906" s="11">
        <f>I906*85</f>
        <v>0</v>
      </c>
      <c r="K906" s="11">
        <f>J906-H906</f>
        <v>0</v>
      </c>
      <c r="L906" s="10">
        <f>G906/F906</f>
        <v>0</v>
      </c>
      <c r="M906" s="14">
        <f>IFERROR(ROUND(I906/G906,2),0)</f>
        <v>0</v>
      </c>
      <c r="N906" s="11">
        <f>IFERROR(H906/G906,0)</f>
        <v>0</v>
      </c>
      <c r="O906" s="11">
        <f>IFERROR(H906/I906,0)</f>
        <v>0</v>
      </c>
      <c r="P906" s="11">
        <f>IFERROR((J906-H906)/H906,0)</f>
        <v>0</v>
      </c>
    </row>
    <row r="907" spans="1:16">
      <c r="A907">
        <v>708820</v>
      </c>
      <c r="B907" t="s">
        <v>160</v>
      </c>
      <c r="C907" t="s">
        <v>0</v>
      </c>
      <c r="D907" t="s">
        <v>1</v>
      </c>
      <c r="E907" s="14">
        <v>29</v>
      </c>
      <c r="F907" s="14">
        <v>1915</v>
      </c>
      <c r="G907" s="14">
        <v>0</v>
      </c>
      <c r="H907" s="13">
        <v>0</v>
      </c>
      <c r="I907" s="14">
        <v>0</v>
      </c>
      <c r="J907" s="11">
        <f>I907*85</f>
        <v>0</v>
      </c>
      <c r="K907" s="11">
        <f>J907-H907</f>
        <v>0</v>
      </c>
      <c r="L907" s="10">
        <f>G907/F907</f>
        <v>0</v>
      </c>
      <c r="M907" s="14">
        <f>IFERROR(ROUND(I907/G907,2),0)</f>
        <v>0</v>
      </c>
      <c r="N907" s="11">
        <f>IFERROR(H907/G907,0)</f>
        <v>0</v>
      </c>
      <c r="O907" s="11">
        <f>IFERROR(H907/I907,0)</f>
        <v>0</v>
      </c>
      <c r="P907" s="11">
        <f>IFERROR((J907-H907)/H907,0)</f>
        <v>0</v>
      </c>
    </row>
    <row r="908" spans="1:16">
      <c r="A908">
        <v>708979</v>
      </c>
      <c r="B908" t="s">
        <v>160</v>
      </c>
      <c r="C908" t="s">
        <v>0</v>
      </c>
      <c r="D908" t="s">
        <v>1</v>
      </c>
      <c r="E908" s="14">
        <v>31</v>
      </c>
      <c r="F908" s="14">
        <v>1224</v>
      </c>
      <c r="G908" s="14">
        <v>0</v>
      </c>
      <c r="H908" s="13">
        <v>0</v>
      </c>
      <c r="I908" s="14">
        <v>0</v>
      </c>
      <c r="J908" s="11">
        <f>I908*85</f>
        <v>0</v>
      </c>
      <c r="K908" s="11">
        <f>J908-H908</f>
        <v>0</v>
      </c>
      <c r="L908" s="10">
        <f>G908/F908</f>
        <v>0</v>
      </c>
      <c r="M908" s="14">
        <f>IFERROR(ROUND(I908/G908,2),0)</f>
        <v>0</v>
      </c>
      <c r="N908" s="11">
        <f>IFERROR(H908/G908,0)</f>
        <v>0</v>
      </c>
      <c r="O908" s="11">
        <f>IFERROR(H908/I908,0)</f>
        <v>0</v>
      </c>
      <c r="P908" s="11">
        <f>IFERROR((J908-H908)/H908,0)</f>
        <v>0</v>
      </c>
    </row>
    <row r="909" spans="1:16">
      <c r="A909">
        <v>709023</v>
      </c>
      <c r="B909" t="s">
        <v>160</v>
      </c>
      <c r="C909" t="s">
        <v>0</v>
      </c>
      <c r="D909" t="s">
        <v>1</v>
      </c>
      <c r="E909" s="14">
        <v>7</v>
      </c>
      <c r="F909" s="14">
        <v>735</v>
      </c>
      <c r="G909" s="14">
        <v>0</v>
      </c>
      <c r="H909" s="13">
        <v>0</v>
      </c>
      <c r="I909" s="14">
        <v>0</v>
      </c>
      <c r="J909" s="11">
        <f>I909*85</f>
        <v>0</v>
      </c>
      <c r="K909" s="11">
        <f>J909-H909</f>
        <v>0</v>
      </c>
      <c r="L909" s="10">
        <f>G909/F909</f>
        <v>0</v>
      </c>
      <c r="M909" s="14">
        <f>IFERROR(ROUND(I909/G909,2),0)</f>
        <v>0</v>
      </c>
      <c r="N909" s="11">
        <f>IFERROR(H909/G909,0)</f>
        <v>0</v>
      </c>
      <c r="O909" s="11">
        <f>IFERROR(H909/I909,0)</f>
        <v>0</v>
      </c>
      <c r="P909" s="11">
        <f>IFERROR((J909-H909)/H909,0)</f>
        <v>0</v>
      </c>
    </row>
    <row r="910" spans="1:16">
      <c r="A910">
        <v>709038</v>
      </c>
      <c r="B910" t="s">
        <v>160</v>
      </c>
      <c r="C910" t="s">
        <v>0</v>
      </c>
      <c r="D910" t="s">
        <v>1</v>
      </c>
      <c r="E910" s="14">
        <v>16</v>
      </c>
      <c r="F910" s="14">
        <v>5117</v>
      </c>
      <c r="G910" s="14">
        <v>0</v>
      </c>
      <c r="H910" s="13">
        <v>0</v>
      </c>
      <c r="I910" s="14">
        <v>0</v>
      </c>
      <c r="J910" s="11">
        <f>I910*85</f>
        <v>0</v>
      </c>
      <c r="K910" s="11">
        <f>J910-H910</f>
        <v>0</v>
      </c>
      <c r="L910" s="10">
        <f>G910/F910</f>
        <v>0</v>
      </c>
      <c r="M910" s="14">
        <f>IFERROR(ROUND(I910/G910,2),0)</f>
        <v>0</v>
      </c>
      <c r="N910" s="11">
        <f>IFERROR(H910/G910,0)</f>
        <v>0</v>
      </c>
      <c r="O910" s="11">
        <f>IFERROR(H910/I910,0)</f>
        <v>0</v>
      </c>
      <c r="P910" s="11">
        <f>IFERROR((J910-H910)/H910,0)</f>
        <v>0</v>
      </c>
    </row>
    <row r="911" spans="1:16">
      <c r="A911">
        <v>709040</v>
      </c>
      <c r="B911" t="s">
        <v>160</v>
      </c>
      <c r="C911" t="s">
        <v>0</v>
      </c>
      <c r="D911" t="s">
        <v>1</v>
      </c>
      <c r="E911" s="14">
        <v>16</v>
      </c>
      <c r="F911" s="14">
        <v>5120</v>
      </c>
      <c r="G911" s="14">
        <v>0</v>
      </c>
      <c r="H911" s="13">
        <v>0</v>
      </c>
      <c r="I911" s="14">
        <v>0</v>
      </c>
      <c r="J911" s="11">
        <f>I911*85</f>
        <v>0</v>
      </c>
      <c r="K911" s="11">
        <f>J911-H911</f>
        <v>0</v>
      </c>
      <c r="L911" s="10">
        <f>G911/F911</f>
        <v>0</v>
      </c>
      <c r="M911" s="14">
        <f>IFERROR(ROUND(I911/G911,2),0)</f>
        <v>0</v>
      </c>
      <c r="N911" s="11">
        <f>IFERROR(H911/G911,0)</f>
        <v>0</v>
      </c>
      <c r="O911" s="11">
        <f>IFERROR(H911/I911,0)</f>
        <v>0</v>
      </c>
      <c r="P911" s="11">
        <f>IFERROR((J911-H911)/H911,0)</f>
        <v>0</v>
      </c>
    </row>
    <row r="912" spans="1:16">
      <c r="A912">
        <v>709105</v>
      </c>
      <c r="B912" t="s">
        <v>160</v>
      </c>
      <c r="C912" t="s">
        <v>0</v>
      </c>
      <c r="D912" t="s">
        <v>1</v>
      </c>
      <c r="E912" s="14">
        <v>28</v>
      </c>
      <c r="F912" s="14">
        <v>1241</v>
      </c>
      <c r="G912" s="14">
        <v>0</v>
      </c>
      <c r="H912" s="13">
        <v>0</v>
      </c>
      <c r="I912" s="14">
        <v>0</v>
      </c>
      <c r="J912" s="11">
        <f>I912*85</f>
        <v>0</v>
      </c>
      <c r="K912" s="11">
        <f>J912-H912</f>
        <v>0</v>
      </c>
      <c r="L912" s="10">
        <f>G912/F912</f>
        <v>0</v>
      </c>
      <c r="M912" s="14">
        <f>IFERROR(ROUND(I912/G912,2),0)</f>
        <v>0</v>
      </c>
      <c r="N912" s="11">
        <f>IFERROR(H912/G912,0)</f>
        <v>0</v>
      </c>
      <c r="O912" s="11">
        <f>IFERROR(H912/I912,0)</f>
        <v>0</v>
      </c>
      <c r="P912" s="11">
        <f>IFERROR((J912-H912)/H912,0)</f>
        <v>0</v>
      </c>
    </row>
    <row r="913" spans="1:16">
      <c r="A913">
        <v>709124</v>
      </c>
      <c r="B913" t="s">
        <v>160</v>
      </c>
      <c r="C913" t="s">
        <v>0</v>
      </c>
      <c r="D913" t="s">
        <v>1</v>
      </c>
      <c r="E913" s="14">
        <v>31</v>
      </c>
      <c r="F913" s="14">
        <v>1024</v>
      </c>
      <c r="G913" s="14">
        <v>0</v>
      </c>
      <c r="H913" s="13">
        <v>0</v>
      </c>
      <c r="I913" s="14">
        <v>0</v>
      </c>
      <c r="J913" s="11">
        <f>I913*85</f>
        <v>0</v>
      </c>
      <c r="K913" s="11">
        <f>J913-H913</f>
        <v>0</v>
      </c>
      <c r="L913" s="10">
        <f>G913/F913</f>
        <v>0</v>
      </c>
      <c r="M913" s="14">
        <f>IFERROR(ROUND(I913/G913,2),0)</f>
        <v>0</v>
      </c>
      <c r="N913" s="11">
        <f>IFERROR(H913/G913,0)</f>
        <v>0</v>
      </c>
      <c r="O913" s="11">
        <f>IFERROR(H913/I913,0)</f>
        <v>0</v>
      </c>
      <c r="P913" s="11">
        <f>IFERROR((J913-H913)/H913,0)</f>
        <v>0</v>
      </c>
    </row>
    <row r="914" spans="1:16">
      <c r="A914">
        <v>709320</v>
      </c>
      <c r="B914" t="s">
        <v>160</v>
      </c>
      <c r="C914" t="s">
        <v>2</v>
      </c>
      <c r="D914" t="s">
        <v>1</v>
      </c>
      <c r="E914" s="14">
        <v>15</v>
      </c>
      <c r="F914" s="14">
        <v>1422</v>
      </c>
      <c r="G914" s="14">
        <v>0</v>
      </c>
      <c r="H914" s="13">
        <v>0</v>
      </c>
      <c r="I914" s="14">
        <v>0</v>
      </c>
      <c r="J914" s="11">
        <f>I914*85</f>
        <v>0</v>
      </c>
      <c r="K914" s="11">
        <f>J914-H914</f>
        <v>0</v>
      </c>
      <c r="L914" s="10">
        <f>G914/F914</f>
        <v>0</v>
      </c>
      <c r="M914" s="14">
        <f>IFERROR(ROUND(I914/G914,2),0)</f>
        <v>0</v>
      </c>
      <c r="N914" s="11">
        <f>IFERROR(H914/G914,0)</f>
        <v>0</v>
      </c>
      <c r="O914" s="11">
        <f>IFERROR(H914/I914,0)</f>
        <v>0</v>
      </c>
      <c r="P914" s="11">
        <f>IFERROR((J914-H914)/H914,0)</f>
        <v>0</v>
      </c>
    </row>
    <row r="915" spans="1:16">
      <c r="A915">
        <v>709328</v>
      </c>
      <c r="B915" t="s">
        <v>160</v>
      </c>
      <c r="C915" t="s">
        <v>2</v>
      </c>
      <c r="D915" t="s">
        <v>1</v>
      </c>
      <c r="E915" s="14">
        <v>16</v>
      </c>
      <c r="F915" s="14">
        <v>3332</v>
      </c>
      <c r="G915" s="14">
        <v>0</v>
      </c>
      <c r="H915" s="13">
        <v>0</v>
      </c>
      <c r="I915" s="14">
        <v>0</v>
      </c>
      <c r="J915" s="11">
        <f>I915*85</f>
        <v>0</v>
      </c>
      <c r="K915" s="11">
        <f>J915-H915</f>
        <v>0</v>
      </c>
      <c r="L915" s="10">
        <f>G915/F915</f>
        <v>0</v>
      </c>
      <c r="M915" s="14">
        <f>IFERROR(ROUND(I915/G915,2),0)</f>
        <v>0</v>
      </c>
      <c r="N915" s="11">
        <f>IFERROR(H915/G915,0)</f>
        <v>0</v>
      </c>
      <c r="O915" s="11">
        <f>IFERROR(H915/I915,0)</f>
        <v>0</v>
      </c>
      <c r="P915" s="11">
        <f>IFERROR((J915-H915)/H915,0)</f>
        <v>0</v>
      </c>
    </row>
    <row r="916" spans="1:16">
      <c r="A916">
        <v>709455</v>
      </c>
      <c r="B916" t="s">
        <v>160</v>
      </c>
      <c r="C916" t="s">
        <v>2</v>
      </c>
      <c r="D916" t="s">
        <v>1</v>
      </c>
      <c r="E916" s="14">
        <v>7</v>
      </c>
      <c r="F916" s="14">
        <v>559</v>
      </c>
      <c r="G916" s="14">
        <v>0</v>
      </c>
      <c r="H916" s="13">
        <v>0</v>
      </c>
      <c r="I916" s="14">
        <v>0</v>
      </c>
      <c r="J916" s="11">
        <f>I916*85</f>
        <v>0</v>
      </c>
      <c r="K916" s="11">
        <f>J916-H916</f>
        <v>0</v>
      </c>
      <c r="L916" s="10">
        <f>G916/F916</f>
        <v>0</v>
      </c>
      <c r="M916" s="14">
        <f>IFERROR(ROUND(I916/G916,2),0)</f>
        <v>0</v>
      </c>
      <c r="N916" s="11">
        <f>IFERROR(H916/G916,0)</f>
        <v>0</v>
      </c>
      <c r="O916" s="11">
        <f>IFERROR(H916/I916,0)</f>
        <v>0</v>
      </c>
      <c r="P916" s="11">
        <f>IFERROR((J916-H916)/H916,0)</f>
        <v>0</v>
      </c>
    </row>
    <row r="917" spans="1:16">
      <c r="A917">
        <v>709761</v>
      </c>
      <c r="B917" t="s">
        <v>160</v>
      </c>
      <c r="C917" t="s">
        <v>3</v>
      </c>
      <c r="D917" t="s">
        <v>1</v>
      </c>
      <c r="E917" s="14">
        <v>16</v>
      </c>
      <c r="F917" s="14">
        <v>2861</v>
      </c>
      <c r="G917" s="14">
        <v>0</v>
      </c>
      <c r="H917" s="13">
        <v>0</v>
      </c>
      <c r="I917" s="14">
        <v>0</v>
      </c>
      <c r="J917" s="11">
        <f>I917*85</f>
        <v>0</v>
      </c>
      <c r="K917" s="11">
        <f>J917-H917</f>
        <v>0</v>
      </c>
      <c r="L917" s="10">
        <f>G917/F917</f>
        <v>0</v>
      </c>
      <c r="M917" s="14">
        <f>IFERROR(ROUND(I917/G917,2),0)</f>
        <v>0</v>
      </c>
      <c r="N917" s="11">
        <f>IFERROR(H917/G917,0)</f>
        <v>0</v>
      </c>
      <c r="O917" s="11">
        <f>IFERROR(H917/I917,0)</f>
        <v>0</v>
      </c>
      <c r="P917" s="11">
        <f>IFERROR((J917-H917)/H917,0)</f>
        <v>0</v>
      </c>
    </row>
    <row r="918" spans="1:16">
      <c r="A918">
        <v>709899</v>
      </c>
      <c r="B918" t="s">
        <v>160</v>
      </c>
      <c r="C918" t="s">
        <v>3</v>
      </c>
      <c r="D918" t="s">
        <v>1</v>
      </c>
      <c r="E918" s="14">
        <v>15</v>
      </c>
      <c r="F918" s="14">
        <v>1398</v>
      </c>
      <c r="G918" s="14">
        <v>0</v>
      </c>
      <c r="H918" s="13">
        <v>0</v>
      </c>
      <c r="I918" s="14">
        <v>0</v>
      </c>
      <c r="J918" s="11">
        <f>I918*85</f>
        <v>0</v>
      </c>
      <c r="K918" s="11">
        <f>J918-H918</f>
        <v>0</v>
      </c>
      <c r="L918" s="10">
        <f>G918/F918</f>
        <v>0</v>
      </c>
      <c r="M918" s="14">
        <f>IFERROR(ROUND(I918/G918,2),0)</f>
        <v>0</v>
      </c>
      <c r="N918" s="11">
        <f>IFERROR(H918/G918,0)</f>
        <v>0</v>
      </c>
      <c r="O918" s="11">
        <f>IFERROR(H918/I918,0)</f>
        <v>0</v>
      </c>
      <c r="P918" s="11">
        <f>IFERROR((J918-H918)/H918,0)</f>
        <v>0</v>
      </c>
    </row>
    <row r="919" spans="1:16">
      <c r="A919">
        <v>710477</v>
      </c>
      <c r="B919" t="s">
        <v>160</v>
      </c>
      <c r="C919" t="s">
        <v>0</v>
      </c>
      <c r="D919" t="s">
        <v>5</v>
      </c>
      <c r="E919" s="14">
        <v>16</v>
      </c>
      <c r="F919" s="14">
        <v>2654</v>
      </c>
      <c r="G919" s="14">
        <v>0</v>
      </c>
      <c r="H919" s="13">
        <v>0</v>
      </c>
      <c r="I919" s="14">
        <v>0</v>
      </c>
      <c r="J919" s="11">
        <f>I919*85</f>
        <v>0</v>
      </c>
      <c r="K919" s="11">
        <f>J919-H919</f>
        <v>0</v>
      </c>
      <c r="L919" s="10">
        <f>G919/F919</f>
        <v>0</v>
      </c>
      <c r="M919" s="14">
        <f>IFERROR(ROUND(I919/G919,2),0)</f>
        <v>0</v>
      </c>
      <c r="N919" s="11">
        <f>IFERROR(H919/G919,0)</f>
        <v>0</v>
      </c>
      <c r="O919" s="11">
        <f>IFERROR(H919/I919,0)</f>
        <v>0</v>
      </c>
      <c r="P919" s="11">
        <f>IFERROR((J919-H919)/H919,0)</f>
        <v>0</v>
      </c>
    </row>
    <row r="920" spans="1:16">
      <c r="A920">
        <v>710628</v>
      </c>
      <c r="B920" t="s">
        <v>160</v>
      </c>
      <c r="C920" t="s">
        <v>0</v>
      </c>
      <c r="D920" t="s">
        <v>5</v>
      </c>
      <c r="E920" s="14">
        <v>18</v>
      </c>
      <c r="F920" s="14">
        <v>1473</v>
      </c>
      <c r="G920" s="14">
        <v>0</v>
      </c>
      <c r="H920" s="13">
        <v>0</v>
      </c>
      <c r="I920" s="14">
        <v>0</v>
      </c>
      <c r="J920" s="11">
        <f>I920*85</f>
        <v>0</v>
      </c>
      <c r="K920" s="11">
        <f>J920-H920</f>
        <v>0</v>
      </c>
      <c r="L920" s="10">
        <f>G920/F920</f>
        <v>0</v>
      </c>
      <c r="M920" s="14">
        <f>IFERROR(ROUND(I920/G920,2),0)</f>
        <v>0</v>
      </c>
      <c r="N920" s="11">
        <f>IFERROR(H920/G920,0)</f>
        <v>0</v>
      </c>
      <c r="O920" s="11">
        <f>IFERROR(H920/I920,0)</f>
        <v>0</v>
      </c>
      <c r="P920" s="11">
        <f>IFERROR((J920-H920)/H920,0)</f>
        <v>0</v>
      </c>
    </row>
    <row r="921" spans="1:16">
      <c r="A921">
        <v>710682</v>
      </c>
      <c r="B921" t="s">
        <v>160</v>
      </c>
      <c r="C921" t="s">
        <v>0</v>
      </c>
      <c r="D921" t="s">
        <v>5</v>
      </c>
      <c r="E921" s="14">
        <v>27</v>
      </c>
      <c r="F921" s="14">
        <v>1186</v>
      </c>
      <c r="G921" s="14">
        <v>0</v>
      </c>
      <c r="H921" s="13">
        <v>0</v>
      </c>
      <c r="I921" s="14">
        <v>0</v>
      </c>
      <c r="J921" s="11">
        <f>I921*85</f>
        <v>0</v>
      </c>
      <c r="K921" s="11">
        <f>J921-H921</f>
        <v>0</v>
      </c>
      <c r="L921" s="10">
        <f>G921/F921</f>
        <v>0</v>
      </c>
      <c r="M921" s="14">
        <f>IFERROR(ROUND(I921/G921,2),0)</f>
        <v>0</v>
      </c>
      <c r="N921" s="11">
        <f>IFERROR(H921/G921,0)</f>
        <v>0</v>
      </c>
      <c r="O921" s="11">
        <f>IFERROR(H921/I921,0)</f>
        <v>0</v>
      </c>
      <c r="P921" s="11">
        <f>IFERROR((J921-H921)/H921,0)</f>
        <v>0</v>
      </c>
    </row>
    <row r="922" spans="1:16">
      <c r="A922">
        <v>710867</v>
      </c>
      <c r="B922" t="s">
        <v>160</v>
      </c>
      <c r="C922" t="s">
        <v>0</v>
      </c>
      <c r="D922" t="s">
        <v>5</v>
      </c>
      <c r="E922" s="14">
        <v>63</v>
      </c>
      <c r="F922" s="14">
        <v>1185</v>
      </c>
      <c r="G922" s="14">
        <v>0</v>
      </c>
      <c r="H922" s="13">
        <v>0</v>
      </c>
      <c r="I922" s="14">
        <v>0</v>
      </c>
      <c r="J922" s="11">
        <f>I922*85</f>
        <v>0</v>
      </c>
      <c r="K922" s="11">
        <f>J922-H922</f>
        <v>0</v>
      </c>
      <c r="L922" s="10">
        <f>G922/F922</f>
        <v>0</v>
      </c>
      <c r="M922" s="14">
        <f>IFERROR(ROUND(I922/G922,2),0)</f>
        <v>0</v>
      </c>
      <c r="N922" s="11">
        <f>IFERROR(H922/G922,0)</f>
        <v>0</v>
      </c>
      <c r="O922" s="11">
        <f>IFERROR(H922/I922,0)</f>
        <v>0</v>
      </c>
      <c r="P922" s="11">
        <f>IFERROR((J922-H922)/H922,0)</f>
        <v>0</v>
      </c>
    </row>
    <row r="923" spans="1:16">
      <c r="A923">
        <v>711785</v>
      </c>
      <c r="B923" t="s">
        <v>160</v>
      </c>
      <c r="C923" t="s">
        <v>4</v>
      </c>
      <c r="D923" t="s">
        <v>5</v>
      </c>
      <c r="E923" s="14">
        <v>19</v>
      </c>
      <c r="F923" s="14">
        <v>292</v>
      </c>
      <c r="G923" s="14">
        <v>0</v>
      </c>
      <c r="H923" s="13">
        <v>0</v>
      </c>
      <c r="I923" s="14">
        <v>0</v>
      </c>
      <c r="J923" s="11">
        <f>I923*85</f>
        <v>0</v>
      </c>
      <c r="K923" s="11">
        <f>J923-H923</f>
        <v>0</v>
      </c>
      <c r="L923" s="10">
        <f>G923/F923</f>
        <v>0</v>
      </c>
      <c r="M923" s="14">
        <f>IFERROR(ROUND(I923/G923,2),0)</f>
        <v>0</v>
      </c>
      <c r="N923" s="11">
        <f>IFERROR(H923/G923,0)</f>
        <v>0</v>
      </c>
      <c r="O923" s="11">
        <f>IFERROR(H923/I923,0)</f>
        <v>0</v>
      </c>
      <c r="P923" s="11">
        <f>IFERROR((J923-H923)/H923,0)</f>
        <v>0</v>
      </c>
    </row>
    <row r="924" spans="1:16">
      <c r="A924">
        <v>712052</v>
      </c>
      <c r="B924" t="s">
        <v>160</v>
      </c>
      <c r="C924" t="s">
        <v>4</v>
      </c>
      <c r="D924" t="s">
        <v>5</v>
      </c>
      <c r="E924" s="14">
        <v>10</v>
      </c>
      <c r="F924" s="14">
        <v>1448</v>
      </c>
      <c r="G924" s="14">
        <v>0</v>
      </c>
      <c r="H924" s="13">
        <v>0</v>
      </c>
      <c r="I924" s="14">
        <v>0</v>
      </c>
      <c r="J924" s="11">
        <f>I924*85</f>
        <v>0</v>
      </c>
      <c r="K924" s="11">
        <f>J924-H924</f>
        <v>0</v>
      </c>
      <c r="L924" s="10">
        <f>G924/F924</f>
        <v>0</v>
      </c>
      <c r="M924" s="14">
        <f>IFERROR(ROUND(I924/G924,2),0)</f>
        <v>0</v>
      </c>
      <c r="N924" s="11">
        <f>IFERROR(H924/G924,0)</f>
        <v>0</v>
      </c>
      <c r="O924" s="11">
        <f>IFERROR(H924/I924,0)</f>
        <v>0</v>
      </c>
      <c r="P924" s="11">
        <f>IFERROR((J924-H924)/H924,0)</f>
        <v>0</v>
      </c>
    </row>
    <row r="925" spans="1:16">
      <c r="A925">
        <v>734209</v>
      </c>
      <c r="B925" t="s">
        <v>161</v>
      </c>
      <c r="C925" t="s">
        <v>0</v>
      </c>
      <c r="D925" t="s">
        <v>1</v>
      </c>
      <c r="E925" s="14">
        <v>10</v>
      </c>
      <c r="F925" s="14">
        <v>1772</v>
      </c>
      <c r="G925" s="14">
        <v>0</v>
      </c>
      <c r="H925" s="13">
        <v>0</v>
      </c>
      <c r="I925" s="14">
        <v>0</v>
      </c>
      <c r="J925" s="11">
        <f>I925*85</f>
        <v>0</v>
      </c>
      <c r="K925" s="11">
        <f>J925-H925</f>
        <v>0</v>
      </c>
      <c r="L925" s="10">
        <f>G925/F925</f>
        <v>0</v>
      </c>
      <c r="M925" s="14">
        <f>IFERROR(ROUND(I925/G925,2),0)</f>
        <v>0</v>
      </c>
      <c r="N925" s="11">
        <f>IFERROR(H925/G925,0)</f>
        <v>0</v>
      </c>
      <c r="O925" s="11">
        <f>IFERROR(H925/I925,0)</f>
        <v>0</v>
      </c>
      <c r="P925" s="11">
        <f>IFERROR((J925-H925)/H925,0)</f>
        <v>0</v>
      </c>
    </row>
    <row r="926" spans="1:16">
      <c r="A926">
        <v>734243</v>
      </c>
      <c r="B926" t="s">
        <v>161</v>
      </c>
      <c r="C926" t="s">
        <v>0</v>
      </c>
      <c r="D926" t="s">
        <v>1</v>
      </c>
      <c r="E926" s="14">
        <v>21</v>
      </c>
      <c r="F926" s="14">
        <v>739</v>
      </c>
      <c r="G926" s="14">
        <v>0</v>
      </c>
      <c r="H926" s="13">
        <v>0</v>
      </c>
      <c r="I926" s="14">
        <v>0</v>
      </c>
      <c r="J926" s="11">
        <f>I926*85</f>
        <v>0</v>
      </c>
      <c r="K926" s="11">
        <f>J926-H926</f>
        <v>0</v>
      </c>
      <c r="L926" s="10">
        <f>G926/F926</f>
        <v>0</v>
      </c>
      <c r="M926" s="14">
        <f>IFERROR(ROUND(I926/G926,2),0)</f>
        <v>0</v>
      </c>
      <c r="N926" s="11">
        <f>IFERROR(H926/G926,0)</f>
        <v>0</v>
      </c>
      <c r="O926" s="11">
        <f>IFERROR(H926/I926,0)</f>
        <v>0</v>
      </c>
      <c r="P926" s="11">
        <f>IFERROR((J926-H926)/H926,0)</f>
        <v>0</v>
      </c>
    </row>
    <row r="927" spans="1:16">
      <c r="A927">
        <v>734266</v>
      </c>
      <c r="B927" t="s">
        <v>161</v>
      </c>
      <c r="C927" t="s">
        <v>0</v>
      </c>
      <c r="D927" t="s">
        <v>1</v>
      </c>
      <c r="E927" s="14">
        <v>25</v>
      </c>
      <c r="F927" s="14">
        <v>605</v>
      </c>
      <c r="G927" s="14">
        <v>0</v>
      </c>
      <c r="H927" s="13">
        <v>0</v>
      </c>
      <c r="I927" s="14">
        <v>0</v>
      </c>
      <c r="J927" s="11">
        <f>I927*85</f>
        <v>0</v>
      </c>
      <c r="K927" s="11">
        <f>J927-H927</f>
        <v>0</v>
      </c>
      <c r="L927" s="10">
        <f>G927/F927</f>
        <v>0</v>
      </c>
      <c r="M927" s="14">
        <f>IFERROR(ROUND(I927/G927,2),0)</f>
        <v>0</v>
      </c>
      <c r="N927" s="11">
        <f>IFERROR(H927/G927,0)</f>
        <v>0</v>
      </c>
      <c r="O927" s="11">
        <f>IFERROR(H927/I927,0)</f>
        <v>0</v>
      </c>
      <c r="P927" s="11">
        <f>IFERROR((J927-H927)/H927,0)</f>
        <v>0</v>
      </c>
    </row>
    <row r="928" spans="1:16">
      <c r="A928">
        <v>734272</v>
      </c>
      <c r="B928" t="s">
        <v>161</v>
      </c>
      <c r="C928" t="s">
        <v>0</v>
      </c>
      <c r="D928" t="s">
        <v>1</v>
      </c>
      <c r="E928" s="14">
        <v>26</v>
      </c>
      <c r="F928" s="14">
        <v>1030</v>
      </c>
      <c r="G928" s="14">
        <v>0</v>
      </c>
      <c r="H928" s="13">
        <v>0</v>
      </c>
      <c r="I928" s="14">
        <v>0</v>
      </c>
      <c r="J928" s="11">
        <f>I928*85</f>
        <v>0</v>
      </c>
      <c r="K928" s="11">
        <f>J928-H928</f>
        <v>0</v>
      </c>
      <c r="L928" s="10">
        <f>G928/F928</f>
        <v>0</v>
      </c>
      <c r="M928" s="14">
        <f>IFERROR(ROUND(I928/G928,2),0)</f>
        <v>0</v>
      </c>
      <c r="N928" s="11">
        <f>IFERROR(H928/G928,0)</f>
        <v>0</v>
      </c>
      <c r="O928" s="11">
        <f>IFERROR(H928/I928,0)</f>
        <v>0</v>
      </c>
      <c r="P928" s="11">
        <f>IFERROR((J928-H928)/H928,0)</f>
        <v>0</v>
      </c>
    </row>
    <row r="929" spans="1:16">
      <c r="A929">
        <v>734313</v>
      </c>
      <c r="B929" t="s">
        <v>161</v>
      </c>
      <c r="C929" t="s">
        <v>0</v>
      </c>
      <c r="D929" t="s">
        <v>1</v>
      </c>
      <c r="E929" s="14">
        <v>36</v>
      </c>
      <c r="F929" s="14">
        <v>790</v>
      </c>
      <c r="G929" s="14">
        <v>0</v>
      </c>
      <c r="H929" s="13">
        <v>0</v>
      </c>
      <c r="I929" s="14">
        <v>0</v>
      </c>
      <c r="J929" s="11">
        <f>I929*85</f>
        <v>0</v>
      </c>
      <c r="K929" s="11">
        <f>J929-H929</f>
        <v>0</v>
      </c>
      <c r="L929" s="10">
        <f>G929/F929</f>
        <v>0</v>
      </c>
      <c r="M929" s="14">
        <f>IFERROR(ROUND(I929/G929,2),0)</f>
        <v>0</v>
      </c>
      <c r="N929" s="11">
        <f>IFERROR(H929/G929,0)</f>
        <v>0</v>
      </c>
      <c r="O929" s="11">
        <f>IFERROR(H929/I929,0)</f>
        <v>0</v>
      </c>
      <c r="P929" s="11">
        <f>IFERROR((J929-H929)/H929,0)</f>
        <v>0</v>
      </c>
    </row>
    <row r="930" spans="1:16">
      <c r="A930">
        <v>734314</v>
      </c>
      <c r="B930" t="s">
        <v>161</v>
      </c>
      <c r="C930" t="s">
        <v>0</v>
      </c>
      <c r="D930" t="s">
        <v>1</v>
      </c>
      <c r="E930" s="14">
        <v>36</v>
      </c>
      <c r="F930" s="14">
        <v>962</v>
      </c>
      <c r="G930" s="14">
        <v>0</v>
      </c>
      <c r="H930" s="13">
        <v>0</v>
      </c>
      <c r="I930" s="14">
        <v>0</v>
      </c>
      <c r="J930" s="11">
        <f>I930*85</f>
        <v>0</v>
      </c>
      <c r="K930" s="11">
        <f>J930-H930</f>
        <v>0</v>
      </c>
      <c r="L930" s="10">
        <f>G930/F930</f>
        <v>0</v>
      </c>
      <c r="M930" s="14">
        <f>IFERROR(ROUND(I930/G930,2),0)</f>
        <v>0</v>
      </c>
      <c r="N930" s="11">
        <f>IFERROR(H930/G930,0)</f>
        <v>0</v>
      </c>
      <c r="O930" s="11">
        <f>IFERROR(H930/I930,0)</f>
        <v>0</v>
      </c>
      <c r="P930" s="11">
        <f>IFERROR((J930-H930)/H930,0)</f>
        <v>0</v>
      </c>
    </row>
    <row r="931" spans="1:16">
      <c r="A931">
        <v>734399</v>
      </c>
      <c r="B931" t="s">
        <v>161</v>
      </c>
      <c r="C931" t="s">
        <v>2</v>
      </c>
      <c r="D931" t="s">
        <v>1</v>
      </c>
      <c r="E931" s="14">
        <v>23</v>
      </c>
      <c r="F931" s="14">
        <v>239</v>
      </c>
      <c r="G931" s="14">
        <v>0</v>
      </c>
      <c r="H931" s="13">
        <v>0</v>
      </c>
      <c r="I931" s="14">
        <v>0</v>
      </c>
      <c r="J931" s="11">
        <f>I931*85</f>
        <v>0</v>
      </c>
      <c r="K931" s="11">
        <f>J931-H931</f>
        <v>0</v>
      </c>
      <c r="L931" s="10">
        <f>G931/F931</f>
        <v>0</v>
      </c>
      <c r="M931" s="14">
        <f>IFERROR(ROUND(I931/G931,2),0)</f>
        <v>0</v>
      </c>
      <c r="N931" s="11">
        <f>IFERROR(H931/G931,0)</f>
        <v>0</v>
      </c>
      <c r="O931" s="11">
        <f>IFERROR(H931/I931,0)</f>
        <v>0</v>
      </c>
      <c r="P931" s="11">
        <f>IFERROR((J931-H931)/H931,0)</f>
        <v>0</v>
      </c>
    </row>
    <row r="932" spans="1:16">
      <c r="A932">
        <v>734418</v>
      </c>
      <c r="B932" t="s">
        <v>161</v>
      </c>
      <c r="C932" t="s">
        <v>2</v>
      </c>
      <c r="D932" t="s">
        <v>1</v>
      </c>
      <c r="E932" s="14">
        <v>26</v>
      </c>
      <c r="F932" s="14">
        <v>591</v>
      </c>
      <c r="G932" s="14">
        <v>0</v>
      </c>
      <c r="H932" s="13">
        <v>0</v>
      </c>
      <c r="I932" s="14">
        <v>0</v>
      </c>
      <c r="J932" s="11">
        <f>I932*85</f>
        <v>0</v>
      </c>
      <c r="K932" s="11">
        <f>J932-H932</f>
        <v>0</v>
      </c>
      <c r="L932" s="10">
        <f>G932/F932</f>
        <v>0</v>
      </c>
      <c r="M932" s="14">
        <f>IFERROR(ROUND(I932/G932,2),0)</f>
        <v>0</v>
      </c>
      <c r="N932" s="11">
        <f>IFERROR(H932/G932,0)</f>
        <v>0</v>
      </c>
      <c r="O932" s="11">
        <f>IFERROR(H932/I932,0)</f>
        <v>0</v>
      </c>
      <c r="P932" s="11">
        <f>IFERROR((J932-H932)/H932,0)</f>
        <v>0</v>
      </c>
    </row>
    <row r="933" spans="1:16">
      <c r="A933">
        <v>734605</v>
      </c>
      <c r="B933" t="s">
        <v>161</v>
      </c>
      <c r="C933" t="s">
        <v>3</v>
      </c>
      <c r="D933" t="s">
        <v>1</v>
      </c>
      <c r="E933" s="14">
        <v>36</v>
      </c>
      <c r="F933" s="14">
        <v>834</v>
      </c>
      <c r="G933" s="14">
        <v>0</v>
      </c>
      <c r="H933" s="13">
        <v>0</v>
      </c>
      <c r="I933" s="14">
        <v>0</v>
      </c>
      <c r="J933" s="11">
        <f>I933*85</f>
        <v>0</v>
      </c>
      <c r="K933" s="11">
        <f>J933-H933</f>
        <v>0</v>
      </c>
      <c r="L933" s="10">
        <f>G933/F933</f>
        <v>0</v>
      </c>
      <c r="M933" s="14">
        <f>IFERROR(ROUND(I933/G933,2),0)</f>
        <v>0</v>
      </c>
      <c r="N933" s="11">
        <f>IFERROR(H933/G933,0)</f>
        <v>0</v>
      </c>
      <c r="O933" s="11">
        <f>IFERROR(H933/I933,0)</f>
        <v>0</v>
      </c>
      <c r="P933" s="11">
        <f>IFERROR((J933-H933)/H933,0)</f>
        <v>0</v>
      </c>
    </row>
    <row r="934" spans="1:16">
      <c r="A934">
        <v>734660</v>
      </c>
      <c r="B934" t="s">
        <v>161</v>
      </c>
      <c r="C934" t="s">
        <v>4</v>
      </c>
      <c r="D934" t="s">
        <v>1</v>
      </c>
      <c r="E934" s="14">
        <v>18</v>
      </c>
      <c r="F934" s="14">
        <v>1299</v>
      </c>
      <c r="G934" s="14">
        <v>0</v>
      </c>
      <c r="H934" s="13">
        <v>0</v>
      </c>
      <c r="I934" s="14">
        <v>0</v>
      </c>
      <c r="J934" s="11">
        <f>I934*85</f>
        <v>0</v>
      </c>
      <c r="K934" s="11">
        <f>J934-H934</f>
        <v>0</v>
      </c>
      <c r="L934" s="10">
        <f>G934/F934</f>
        <v>0</v>
      </c>
      <c r="M934" s="14">
        <f>IFERROR(ROUND(I934/G934,2),0)</f>
        <v>0</v>
      </c>
      <c r="N934" s="11">
        <f>IFERROR(H934/G934,0)</f>
        <v>0</v>
      </c>
      <c r="O934" s="11">
        <f>IFERROR(H934/I934,0)</f>
        <v>0</v>
      </c>
      <c r="P934" s="11">
        <f>IFERROR((J934-H934)/H934,0)</f>
        <v>0</v>
      </c>
    </row>
    <row r="935" spans="1:16">
      <c r="A935">
        <v>734666</v>
      </c>
      <c r="B935" t="s">
        <v>161</v>
      </c>
      <c r="C935" t="s">
        <v>4</v>
      </c>
      <c r="D935" t="s">
        <v>1</v>
      </c>
      <c r="E935" s="14">
        <v>19</v>
      </c>
      <c r="F935" s="14">
        <v>371</v>
      </c>
      <c r="G935" s="14">
        <v>0</v>
      </c>
      <c r="H935" s="13">
        <v>0</v>
      </c>
      <c r="I935" s="14">
        <v>0</v>
      </c>
      <c r="J935" s="11">
        <f>I935*85</f>
        <v>0</v>
      </c>
      <c r="K935" s="11">
        <f>J935-H935</f>
        <v>0</v>
      </c>
      <c r="L935" s="10">
        <f>G935/F935</f>
        <v>0</v>
      </c>
      <c r="M935" s="14">
        <f>IFERROR(ROUND(I935/G935,2),0)</f>
        <v>0</v>
      </c>
      <c r="N935" s="11">
        <f>IFERROR(H935/G935,0)</f>
        <v>0</v>
      </c>
      <c r="O935" s="11">
        <f>IFERROR(H935/I935,0)</f>
        <v>0</v>
      </c>
      <c r="P935" s="11">
        <f>IFERROR((J935-H935)/H935,0)</f>
        <v>0</v>
      </c>
    </row>
    <row r="936" spans="1:16">
      <c r="A936">
        <v>734737</v>
      </c>
      <c r="B936" t="s">
        <v>161</v>
      </c>
      <c r="C936" t="s">
        <v>4</v>
      </c>
      <c r="D936" t="s">
        <v>1</v>
      </c>
      <c r="E936" s="14">
        <v>31</v>
      </c>
      <c r="F936" s="14">
        <v>839</v>
      </c>
      <c r="G936" s="14">
        <v>0</v>
      </c>
      <c r="H936" s="13">
        <v>0</v>
      </c>
      <c r="I936" s="14">
        <v>0</v>
      </c>
      <c r="J936" s="11">
        <f>I936*85</f>
        <v>0</v>
      </c>
      <c r="K936" s="11">
        <f>J936-H936</f>
        <v>0</v>
      </c>
      <c r="L936" s="10">
        <f>G936/F936</f>
        <v>0</v>
      </c>
      <c r="M936" s="14">
        <f>IFERROR(ROUND(I936/G936,2),0)</f>
        <v>0</v>
      </c>
      <c r="N936" s="11">
        <f>IFERROR(H936/G936,0)</f>
        <v>0</v>
      </c>
      <c r="O936" s="11">
        <f>IFERROR(H936/I936,0)</f>
        <v>0</v>
      </c>
      <c r="P936" s="11">
        <f>IFERROR((J936-H936)/H936,0)</f>
        <v>0</v>
      </c>
    </row>
    <row r="937" spans="1:16">
      <c r="A937">
        <v>734794</v>
      </c>
      <c r="B937" t="s">
        <v>161</v>
      </c>
      <c r="C937" t="s">
        <v>0</v>
      </c>
      <c r="D937" t="s">
        <v>5</v>
      </c>
      <c r="E937" s="14">
        <v>16</v>
      </c>
      <c r="F937" s="14">
        <v>4010</v>
      </c>
      <c r="G937" s="14">
        <v>0</v>
      </c>
      <c r="H937" s="13">
        <v>0</v>
      </c>
      <c r="I937" s="14">
        <v>0</v>
      </c>
      <c r="J937" s="11">
        <f>I937*85</f>
        <v>0</v>
      </c>
      <c r="K937" s="11">
        <f>J937-H937</f>
        <v>0</v>
      </c>
      <c r="L937" s="10">
        <f>G937/F937</f>
        <v>0</v>
      </c>
      <c r="M937" s="14">
        <f>IFERROR(ROUND(I937/G937,2),0)</f>
        <v>0</v>
      </c>
      <c r="N937" s="11">
        <f>IFERROR(H937/G937,0)</f>
        <v>0</v>
      </c>
      <c r="O937" s="11">
        <f>IFERROR(H937/I937,0)</f>
        <v>0</v>
      </c>
      <c r="P937" s="11">
        <f>IFERROR((J937-H937)/H937,0)</f>
        <v>0</v>
      </c>
    </row>
    <row r="938" spans="1:16">
      <c r="A938">
        <v>734800</v>
      </c>
      <c r="B938" t="s">
        <v>161</v>
      </c>
      <c r="C938" t="s">
        <v>0</v>
      </c>
      <c r="D938" t="s">
        <v>5</v>
      </c>
      <c r="E938" s="14">
        <v>18</v>
      </c>
      <c r="F938" s="14">
        <v>1635</v>
      </c>
      <c r="G938" s="14">
        <v>0</v>
      </c>
      <c r="H938" s="13">
        <v>0</v>
      </c>
      <c r="I938" s="14">
        <v>0</v>
      </c>
      <c r="J938" s="11">
        <f>I938*85</f>
        <v>0</v>
      </c>
      <c r="K938" s="11">
        <f>J938-H938</f>
        <v>0</v>
      </c>
      <c r="L938" s="10">
        <f>G938/F938</f>
        <v>0</v>
      </c>
      <c r="M938" s="14">
        <f>IFERROR(ROUND(I938/G938,2),0)</f>
        <v>0</v>
      </c>
      <c r="N938" s="11">
        <f>IFERROR(H938/G938,0)</f>
        <v>0</v>
      </c>
      <c r="O938" s="11">
        <f>IFERROR(H938/I938,0)</f>
        <v>0</v>
      </c>
      <c r="P938" s="11">
        <f>IFERROR((J938-H938)/H938,0)</f>
        <v>0</v>
      </c>
    </row>
    <row r="939" spans="1:16">
      <c r="A939">
        <v>734803</v>
      </c>
      <c r="B939" t="s">
        <v>161</v>
      </c>
      <c r="C939" t="s">
        <v>0</v>
      </c>
      <c r="D939" t="s">
        <v>5</v>
      </c>
      <c r="E939" s="14">
        <v>18</v>
      </c>
      <c r="F939" s="14">
        <v>1631</v>
      </c>
      <c r="G939" s="14">
        <v>0</v>
      </c>
      <c r="H939" s="13">
        <v>0</v>
      </c>
      <c r="I939" s="14">
        <v>0</v>
      </c>
      <c r="J939" s="11">
        <f>I939*85</f>
        <v>0</v>
      </c>
      <c r="K939" s="11">
        <f>J939-H939</f>
        <v>0</v>
      </c>
      <c r="L939" s="10">
        <f>G939/F939</f>
        <v>0</v>
      </c>
      <c r="M939" s="14">
        <f>IFERROR(ROUND(I939/G939,2),0)</f>
        <v>0</v>
      </c>
      <c r="N939" s="11">
        <f>IFERROR(H939/G939,0)</f>
        <v>0</v>
      </c>
      <c r="O939" s="11">
        <f>IFERROR(H939/I939,0)</f>
        <v>0</v>
      </c>
      <c r="P939" s="11">
        <f>IFERROR((J939-H939)/H939,0)</f>
        <v>0</v>
      </c>
    </row>
    <row r="940" spans="1:16">
      <c r="A940">
        <v>734901</v>
      </c>
      <c r="B940" t="s">
        <v>161</v>
      </c>
      <c r="C940" t="s">
        <v>0</v>
      </c>
      <c r="D940" t="s">
        <v>5</v>
      </c>
      <c r="E940" s="14">
        <v>64</v>
      </c>
      <c r="F940" s="14">
        <v>1554</v>
      </c>
      <c r="G940" s="14">
        <v>0</v>
      </c>
      <c r="H940" s="13">
        <v>0</v>
      </c>
      <c r="I940" s="14">
        <v>0</v>
      </c>
      <c r="J940" s="11">
        <f>I940*85</f>
        <v>0</v>
      </c>
      <c r="K940" s="11">
        <f>J940-H940</f>
        <v>0</v>
      </c>
      <c r="L940" s="10">
        <f>G940/F940</f>
        <v>0</v>
      </c>
      <c r="M940" s="14">
        <f>IFERROR(ROUND(I940/G940,2),0)</f>
        <v>0</v>
      </c>
      <c r="N940" s="11">
        <f>IFERROR(H940/G940,0)</f>
        <v>0</v>
      </c>
      <c r="O940" s="11">
        <f>IFERROR(H940/I940,0)</f>
        <v>0</v>
      </c>
      <c r="P940" s="11">
        <f>IFERROR((J940-H940)/H940,0)</f>
        <v>0</v>
      </c>
    </row>
    <row r="941" spans="1:16">
      <c r="A941">
        <v>735032</v>
      </c>
      <c r="B941" t="s">
        <v>161</v>
      </c>
      <c r="C941" t="s">
        <v>2</v>
      </c>
      <c r="D941" t="s">
        <v>5</v>
      </c>
      <c r="E941" s="14">
        <v>32</v>
      </c>
      <c r="F941" s="14">
        <v>498</v>
      </c>
      <c r="G941" s="14">
        <v>0</v>
      </c>
      <c r="H941" s="13">
        <v>0</v>
      </c>
      <c r="I941" s="14">
        <v>0</v>
      </c>
      <c r="J941" s="11">
        <f>I941*85</f>
        <v>0</v>
      </c>
      <c r="K941" s="11">
        <f>J941-H941</f>
        <v>0</v>
      </c>
      <c r="L941" s="10">
        <f>G941/F941</f>
        <v>0</v>
      </c>
      <c r="M941" s="14">
        <f>IFERROR(ROUND(I941/G941,2),0)</f>
        <v>0</v>
      </c>
      <c r="N941" s="11">
        <f>IFERROR(H941/G941,0)</f>
        <v>0</v>
      </c>
      <c r="O941" s="11">
        <f>IFERROR(H941/I941,0)</f>
        <v>0</v>
      </c>
      <c r="P941" s="11">
        <f>IFERROR((J941-H941)/H941,0)</f>
        <v>0</v>
      </c>
    </row>
    <row r="942" spans="1:16">
      <c r="A942">
        <v>735033</v>
      </c>
      <c r="B942" t="s">
        <v>161</v>
      </c>
      <c r="C942" t="s">
        <v>2</v>
      </c>
      <c r="D942" t="s">
        <v>5</v>
      </c>
      <c r="E942" s="14">
        <v>36</v>
      </c>
      <c r="F942" s="14">
        <v>652</v>
      </c>
      <c r="G942" s="14">
        <v>0</v>
      </c>
      <c r="H942" s="13">
        <v>0</v>
      </c>
      <c r="I942" s="14">
        <v>0</v>
      </c>
      <c r="J942" s="11">
        <f>I942*85</f>
        <v>0</v>
      </c>
      <c r="K942" s="11">
        <f>J942-H942</f>
        <v>0</v>
      </c>
      <c r="L942" s="10">
        <f>G942/F942</f>
        <v>0</v>
      </c>
      <c r="M942" s="14">
        <f>IFERROR(ROUND(I942/G942,2),0)</f>
        <v>0</v>
      </c>
      <c r="N942" s="11">
        <f>IFERROR(H942/G942,0)</f>
        <v>0</v>
      </c>
      <c r="O942" s="11">
        <f>IFERROR(H942/I942,0)</f>
        <v>0</v>
      </c>
      <c r="P942" s="11">
        <f>IFERROR((J942-H942)/H942,0)</f>
        <v>0</v>
      </c>
    </row>
    <row r="943" spans="1:16">
      <c r="A943">
        <v>735043</v>
      </c>
      <c r="B943" t="s">
        <v>161</v>
      </c>
      <c r="C943" t="s">
        <v>2</v>
      </c>
      <c r="D943" t="s">
        <v>5</v>
      </c>
      <c r="E943" s="14">
        <v>63</v>
      </c>
      <c r="F943" s="14">
        <v>1357</v>
      </c>
      <c r="G943" s="14">
        <v>0</v>
      </c>
      <c r="H943" s="13">
        <v>0</v>
      </c>
      <c r="I943" s="14">
        <v>0</v>
      </c>
      <c r="J943" s="11">
        <f>I943*85</f>
        <v>0</v>
      </c>
      <c r="K943" s="11">
        <f>J943-H943</f>
        <v>0</v>
      </c>
      <c r="L943" s="10">
        <f>G943/F943</f>
        <v>0</v>
      </c>
      <c r="M943" s="14">
        <f>IFERROR(ROUND(I943/G943,2),0)</f>
        <v>0</v>
      </c>
      <c r="N943" s="11">
        <f>IFERROR(H943/G943,0)</f>
        <v>0</v>
      </c>
      <c r="O943" s="11">
        <f>IFERROR(H943/I943,0)</f>
        <v>0</v>
      </c>
      <c r="P943" s="11">
        <f>IFERROR((J943-H943)/H943,0)</f>
        <v>0</v>
      </c>
    </row>
    <row r="944" spans="1:16">
      <c r="A944">
        <v>735048</v>
      </c>
      <c r="B944" t="s">
        <v>161</v>
      </c>
      <c r="C944" t="s">
        <v>2</v>
      </c>
      <c r="D944" t="s">
        <v>5</v>
      </c>
      <c r="E944" s="14">
        <v>64</v>
      </c>
      <c r="F944" s="14">
        <v>1393</v>
      </c>
      <c r="G944" s="14">
        <v>0</v>
      </c>
      <c r="H944" s="13">
        <v>0</v>
      </c>
      <c r="I944" s="14">
        <v>0</v>
      </c>
      <c r="J944" s="11">
        <f>I944*85</f>
        <v>0</v>
      </c>
      <c r="K944" s="11">
        <f>J944-H944</f>
        <v>0</v>
      </c>
      <c r="L944" s="10">
        <f>G944/F944</f>
        <v>0</v>
      </c>
      <c r="M944" s="14">
        <f>IFERROR(ROUND(I944/G944,2),0)</f>
        <v>0</v>
      </c>
      <c r="N944" s="11">
        <f>IFERROR(H944/G944,0)</f>
        <v>0</v>
      </c>
      <c r="O944" s="11">
        <f>IFERROR(H944/I944,0)</f>
        <v>0</v>
      </c>
      <c r="P944" s="11">
        <f>IFERROR((J944-H944)/H944,0)</f>
        <v>0</v>
      </c>
    </row>
    <row r="945" spans="1:16">
      <c r="A945">
        <v>735065</v>
      </c>
      <c r="B945" t="s">
        <v>161</v>
      </c>
      <c r="C945" t="s">
        <v>3</v>
      </c>
      <c r="D945" t="s">
        <v>5</v>
      </c>
      <c r="E945" s="14">
        <v>7</v>
      </c>
      <c r="F945" s="14">
        <v>648</v>
      </c>
      <c r="G945" s="14">
        <v>0</v>
      </c>
      <c r="H945" s="13">
        <v>0</v>
      </c>
      <c r="I945" s="14">
        <v>0</v>
      </c>
      <c r="J945" s="11">
        <f>I945*85</f>
        <v>0</v>
      </c>
      <c r="K945" s="11">
        <f>J945-H945</f>
        <v>0</v>
      </c>
      <c r="L945" s="10">
        <f>G945/F945</f>
        <v>0</v>
      </c>
      <c r="M945" s="14">
        <f>IFERROR(ROUND(I945/G945,2),0)</f>
        <v>0</v>
      </c>
      <c r="N945" s="11">
        <f>IFERROR(H945/G945,0)</f>
        <v>0</v>
      </c>
      <c r="O945" s="11">
        <f>IFERROR(H945/I945,0)</f>
        <v>0</v>
      </c>
      <c r="P945" s="11">
        <f>IFERROR((J945-H945)/H945,0)</f>
        <v>0</v>
      </c>
    </row>
    <row r="946" spans="1:16">
      <c r="A946">
        <v>735109</v>
      </c>
      <c r="B946" t="s">
        <v>161</v>
      </c>
      <c r="C946" t="s">
        <v>3</v>
      </c>
      <c r="D946" t="s">
        <v>5</v>
      </c>
      <c r="E946" s="14">
        <v>21</v>
      </c>
      <c r="F946" s="14">
        <v>708</v>
      </c>
      <c r="G946" s="14">
        <v>0</v>
      </c>
      <c r="H946" s="13">
        <v>0</v>
      </c>
      <c r="I946" s="14">
        <v>0</v>
      </c>
      <c r="J946" s="11">
        <f>I946*85</f>
        <v>0</v>
      </c>
      <c r="K946" s="11">
        <f>J946-H946</f>
        <v>0</v>
      </c>
      <c r="L946" s="10">
        <f>G946/F946</f>
        <v>0</v>
      </c>
      <c r="M946" s="14">
        <f>IFERROR(ROUND(I946/G946,2),0)</f>
        <v>0</v>
      </c>
      <c r="N946" s="11">
        <f>IFERROR(H946/G946,0)</f>
        <v>0</v>
      </c>
      <c r="O946" s="11">
        <f>IFERROR(H946/I946,0)</f>
        <v>0</v>
      </c>
      <c r="P946" s="11">
        <f>IFERROR((J946-H946)/H946,0)</f>
        <v>0</v>
      </c>
    </row>
    <row r="947" spans="1:16">
      <c r="A947">
        <v>735151</v>
      </c>
      <c r="B947" t="s">
        <v>161</v>
      </c>
      <c r="C947" t="s">
        <v>3</v>
      </c>
      <c r="D947" t="s">
        <v>5</v>
      </c>
      <c r="E947" s="14">
        <v>28</v>
      </c>
      <c r="F947" s="14">
        <v>926</v>
      </c>
      <c r="G947" s="14">
        <v>0</v>
      </c>
      <c r="H947" s="13">
        <v>0</v>
      </c>
      <c r="I947" s="14">
        <v>0</v>
      </c>
      <c r="J947" s="11">
        <f>I947*85</f>
        <v>0</v>
      </c>
      <c r="K947" s="11">
        <f>J947-H947</f>
        <v>0</v>
      </c>
      <c r="L947" s="10">
        <f>G947/F947</f>
        <v>0</v>
      </c>
      <c r="M947" s="14">
        <f>IFERROR(ROUND(I947/G947,2),0)</f>
        <v>0</v>
      </c>
      <c r="N947" s="11">
        <f>IFERROR(H947/G947,0)</f>
        <v>0</v>
      </c>
      <c r="O947" s="11">
        <f>IFERROR(H947/I947,0)</f>
        <v>0</v>
      </c>
      <c r="P947" s="11">
        <f>IFERROR((J947-H947)/H947,0)</f>
        <v>0</v>
      </c>
    </row>
    <row r="948" spans="1:16">
      <c r="A948">
        <v>735242</v>
      </c>
      <c r="B948" t="s">
        <v>161</v>
      </c>
      <c r="C948" t="s">
        <v>4</v>
      </c>
      <c r="D948" t="s">
        <v>5</v>
      </c>
      <c r="E948" s="14">
        <v>19</v>
      </c>
      <c r="F948" s="14">
        <v>530</v>
      </c>
      <c r="G948" s="14">
        <v>0</v>
      </c>
      <c r="H948" s="13">
        <v>0</v>
      </c>
      <c r="I948" s="14">
        <v>0</v>
      </c>
      <c r="J948" s="11">
        <f>I948*85</f>
        <v>0</v>
      </c>
      <c r="K948" s="11">
        <f>J948-H948</f>
        <v>0</v>
      </c>
      <c r="L948" s="10">
        <f>G948/F948</f>
        <v>0</v>
      </c>
      <c r="M948" s="14">
        <f>IFERROR(ROUND(I948/G948,2),0)</f>
        <v>0</v>
      </c>
      <c r="N948" s="11">
        <f>IFERROR(H948/G948,0)</f>
        <v>0</v>
      </c>
      <c r="O948" s="11">
        <f>IFERROR(H948/I948,0)</f>
        <v>0</v>
      </c>
      <c r="P948" s="11">
        <f>IFERROR((J948-H948)/H948,0)</f>
        <v>0</v>
      </c>
    </row>
    <row r="949" spans="1:16">
      <c r="A949">
        <v>736890</v>
      </c>
      <c r="B949" t="s">
        <v>161</v>
      </c>
      <c r="C949" t="s">
        <v>0</v>
      </c>
      <c r="D949" t="s">
        <v>1</v>
      </c>
      <c r="E949" s="14">
        <v>15</v>
      </c>
      <c r="F949" s="14">
        <v>2522</v>
      </c>
      <c r="G949" s="14">
        <v>0</v>
      </c>
      <c r="H949" s="13">
        <v>0</v>
      </c>
      <c r="I949" s="14">
        <v>0</v>
      </c>
      <c r="J949" s="11">
        <f>I949*85</f>
        <v>0</v>
      </c>
      <c r="K949" s="11">
        <f>J949-H949</f>
        <v>0</v>
      </c>
      <c r="L949" s="10">
        <f>G949/F949</f>
        <v>0</v>
      </c>
      <c r="M949" s="14">
        <f>IFERROR(ROUND(I949/G949,2),0)</f>
        <v>0</v>
      </c>
      <c r="N949" s="11">
        <f>IFERROR(H949/G949,0)</f>
        <v>0</v>
      </c>
      <c r="O949" s="11">
        <f>IFERROR(H949/I949,0)</f>
        <v>0</v>
      </c>
      <c r="P949" s="11">
        <f>IFERROR((J949-H949)/H949,0)</f>
        <v>0</v>
      </c>
    </row>
    <row r="950" spans="1:16">
      <c r="A950">
        <v>736893</v>
      </c>
      <c r="B950" t="s">
        <v>161</v>
      </c>
      <c r="C950" t="s">
        <v>0</v>
      </c>
      <c r="D950" t="s">
        <v>1</v>
      </c>
      <c r="E950" s="14">
        <v>16</v>
      </c>
      <c r="F950" s="14">
        <v>3587</v>
      </c>
      <c r="G950" s="14">
        <v>0</v>
      </c>
      <c r="H950" s="13">
        <v>0</v>
      </c>
      <c r="I950" s="14">
        <v>0</v>
      </c>
      <c r="J950" s="11">
        <f>I950*85</f>
        <v>0</v>
      </c>
      <c r="K950" s="11">
        <f>J950-H950</f>
        <v>0</v>
      </c>
      <c r="L950" s="10">
        <f>G950/F950</f>
        <v>0</v>
      </c>
      <c r="M950" s="14">
        <f>IFERROR(ROUND(I950/G950,2),0)</f>
        <v>0</v>
      </c>
      <c r="N950" s="11">
        <f>IFERROR(H950/G950,0)</f>
        <v>0</v>
      </c>
      <c r="O950" s="11">
        <f>IFERROR(H950/I950,0)</f>
        <v>0</v>
      </c>
      <c r="P950" s="11">
        <f>IFERROR((J950-H950)/H950,0)</f>
        <v>0</v>
      </c>
    </row>
    <row r="951" spans="1:16">
      <c r="A951">
        <v>736977</v>
      </c>
      <c r="B951" t="s">
        <v>161</v>
      </c>
      <c r="C951" t="s">
        <v>0</v>
      </c>
      <c r="D951" t="s">
        <v>1</v>
      </c>
      <c r="E951" s="14">
        <v>27</v>
      </c>
      <c r="F951" s="14">
        <v>1273</v>
      </c>
      <c r="G951" s="14">
        <v>0</v>
      </c>
      <c r="H951" s="13">
        <v>0</v>
      </c>
      <c r="I951" s="14">
        <v>0</v>
      </c>
      <c r="J951" s="11">
        <f>I951*85</f>
        <v>0</v>
      </c>
      <c r="K951" s="11">
        <f>J951-H951</f>
        <v>0</v>
      </c>
      <c r="L951" s="10">
        <f>G951/F951</f>
        <v>0</v>
      </c>
      <c r="M951" s="14">
        <f>IFERROR(ROUND(I951/G951,2),0)</f>
        <v>0</v>
      </c>
      <c r="N951" s="11">
        <f>IFERROR(H951/G951,0)</f>
        <v>0</v>
      </c>
      <c r="O951" s="11">
        <f>IFERROR(H951/I951,0)</f>
        <v>0</v>
      </c>
      <c r="P951" s="11">
        <f>IFERROR((J951-H951)/H951,0)</f>
        <v>0</v>
      </c>
    </row>
    <row r="952" spans="1:16">
      <c r="A952">
        <v>736995</v>
      </c>
      <c r="B952" t="s">
        <v>161</v>
      </c>
      <c r="C952" t="s">
        <v>0</v>
      </c>
      <c r="D952" t="s">
        <v>1</v>
      </c>
      <c r="E952" s="14">
        <v>29</v>
      </c>
      <c r="F952" s="14">
        <v>1888</v>
      </c>
      <c r="G952" s="14">
        <v>0</v>
      </c>
      <c r="H952" s="13">
        <v>0</v>
      </c>
      <c r="I952" s="14">
        <v>0</v>
      </c>
      <c r="J952" s="11">
        <f>I952*85</f>
        <v>0</v>
      </c>
      <c r="K952" s="11">
        <f>J952-H952</f>
        <v>0</v>
      </c>
      <c r="L952" s="10">
        <f>G952/F952</f>
        <v>0</v>
      </c>
      <c r="M952" s="14">
        <f>IFERROR(ROUND(I952/G952,2),0)</f>
        <v>0</v>
      </c>
      <c r="N952" s="11">
        <f>IFERROR(H952/G952,0)</f>
        <v>0</v>
      </c>
      <c r="O952" s="11">
        <f>IFERROR(H952/I952,0)</f>
        <v>0</v>
      </c>
      <c r="P952" s="11">
        <f>IFERROR((J952-H952)/H952,0)</f>
        <v>0</v>
      </c>
    </row>
    <row r="953" spans="1:16">
      <c r="A953">
        <v>736997</v>
      </c>
      <c r="B953" t="s">
        <v>161</v>
      </c>
      <c r="C953" t="s">
        <v>0</v>
      </c>
      <c r="D953" t="s">
        <v>1</v>
      </c>
      <c r="E953" s="14">
        <v>29</v>
      </c>
      <c r="F953" s="14">
        <v>1895</v>
      </c>
      <c r="G953" s="14">
        <v>0</v>
      </c>
      <c r="H953" s="13">
        <v>0</v>
      </c>
      <c r="I953" s="14">
        <v>0</v>
      </c>
      <c r="J953" s="11">
        <f>I953*85</f>
        <v>0</v>
      </c>
      <c r="K953" s="11">
        <f>J953-H953</f>
        <v>0</v>
      </c>
      <c r="L953" s="10">
        <f>G953/F953</f>
        <v>0</v>
      </c>
      <c r="M953" s="14">
        <f>IFERROR(ROUND(I953/G953,2),0)</f>
        <v>0</v>
      </c>
      <c r="N953" s="11">
        <f>IFERROR(H953/G953,0)</f>
        <v>0</v>
      </c>
      <c r="O953" s="11">
        <f>IFERROR(H953/I953,0)</f>
        <v>0</v>
      </c>
      <c r="P953" s="11">
        <f>IFERROR((J953-H953)/H953,0)</f>
        <v>0</v>
      </c>
    </row>
    <row r="954" spans="1:16">
      <c r="A954">
        <v>737097</v>
      </c>
      <c r="B954" t="s">
        <v>161</v>
      </c>
      <c r="C954" t="s">
        <v>2</v>
      </c>
      <c r="D954" t="s">
        <v>1</v>
      </c>
      <c r="E954" s="14">
        <v>7</v>
      </c>
      <c r="F954" s="14">
        <v>715</v>
      </c>
      <c r="G954" s="14">
        <v>0</v>
      </c>
      <c r="H954" s="13">
        <v>0</v>
      </c>
      <c r="I954" s="14">
        <v>0</v>
      </c>
      <c r="J954" s="11">
        <f>I954*85</f>
        <v>0</v>
      </c>
      <c r="K954" s="11">
        <f>J954-H954</f>
        <v>0</v>
      </c>
      <c r="L954" s="10">
        <f>G954/F954</f>
        <v>0</v>
      </c>
      <c r="M954" s="14">
        <f>IFERROR(ROUND(I954/G954,2),0)</f>
        <v>0</v>
      </c>
      <c r="N954" s="11">
        <f>IFERROR(H954/G954,0)</f>
        <v>0</v>
      </c>
      <c r="O954" s="11">
        <f>IFERROR(H954/I954,0)</f>
        <v>0</v>
      </c>
      <c r="P954" s="11">
        <f>IFERROR((J954-H954)/H954,0)</f>
        <v>0</v>
      </c>
    </row>
    <row r="955" spans="1:16">
      <c r="A955">
        <v>737375</v>
      </c>
      <c r="B955" t="s">
        <v>161</v>
      </c>
      <c r="C955" t="s">
        <v>3</v>
      </c>
      <c r="D955" t="s">
        <v>1</v>
      </c>
      <c r="E955" s="14">
        <v>10</v>
      </c>
      <c r="F955" s="14">
        <v>1415</v>
      </c>
      <c r="G955" s="14">
        <v>0</v>
      </c>
      <c r="H955" s="13">
        <v>0</v>
      </c>
      <c r="I955" s="14">
        <v>0</v>
      </c>
      <c r="J955" s="11">
        <f>I955*85</f>
        <v>0</v>
      </c>
      <c r="K955" s="11">
        <f>J955-H955</f>
        <v>0</v>
      </c>
      <c r="L955" s="10">
        <f>G955/F955</f>
        <v>0</v>
      </c>
      <c r="M955" s="14">
        <f>IFERROR(ROUND(I955/G955,2),0)</f>
        <v>0</v>
      </c>
      <c r="N955" s="11">
        <f>IFERROR(H955/G955,0)</f>
        <v>0</v>
      </c>
      <c r="O955" s="11">
        <f>IFERROR(H955/I955,0)</f>
        <v>0</v>
      </c>
      <c r="P955" s="11">
        <f>IFERROR((J955-H955)/H955,0)</f>
        <v>0</v>
      </c>
    </row>
    <row r="956" spans="1:16">
      <c r="A956">
        <v>737674</v>
      </c>
      <c r="B956" t="s">
        <v>161</v>
      </c>
      <c r="C956" t="s">
        <v>4</v>
      </c>
      <c r="D956" t="s">
        <v>1</v>
      </c>
      <c r="E956" s="14">
        <v>20</v>
      </c>
      <c r="F956" s="14">
        <v>533</v>
      </c>
      <c r="G956" s="14">
        <v>0</v>
      </c>
      <c r="H956" s="13">
        <v>0</v>
      </c>
      <c r="I956" s="14">
        <v>0</v>
      </c>
      <c r="J956" s="11">
        <f>I956*85</f>
        <v>0</v>
      </c>
      <c r="K956" s="11">
        <f>J956-H956</f>
        <v>0</v>
      </c>
      <c r="L956" s="10">
        <f>G956/F956</f>
        <v>0</v>
      </c>
      <c r="M956" s="14">
        <f>IFERROR(ROUND(I956/G956,2),0)</f>
        <v>0</v>
      </c>
      <c r="N956" s="11">
        <f>IFERROR(H956/G956,0)</f>
        <v>0</v>
      </c>
      <c r="O956" s="11">
        <f>IFERROR(H956/I956,0)</f>
        <v>0</v>
      </c>
      <c r="P956" s="11">
        <f>IFERROR((J956-H956)/H956,0)</f>
        <v>0</v>
      </c>
    </row>
    <row r="957" spans="1:16">
      <c r="A957">
        <v>737766</v>
      </c>
      <c r="B957" t="s">
        <v>161</v>
      </c>
      <c r="C957" t="s">
        <v>4</v>
      </c>
      <c r="D957" t="s">
        <v>1</v>
      </c>
      <c r="E957" s="14">
        <v>29</v>
      </c>
      <c r="F957" s="14">
        <v>1447</v>
      </c>
      <c r="G957" s="14">
        <v>0</v>
      </c>
      <c r="H957" s="13">
        <v>0</v>
      </c>
      <c r="I957" s="14">
        <v>0</v>
      </c>
      <c r="J957" s="11">
        <f>I957*85</f>
        <v>0</v>
      </c>
      <c r="K957" s="11">
        <f>J957-H957</f>
        <v>0</v>
      </c>
      <c r="L957" s="10">
        <f>G957/F957</f>
        <v>0</v>
      </c>
      <c r="M957" s="14">
        <f>IFERROR(ROUND(I957/G957,2),0)</f>
        <v>0</v>
      </c>
      <c r="N957" s="11">
        <f>IFERROR(H957/G957,0)</f>
        <v>0</v>
      </c>
      <c r="O957" s="11">
        <f>IFERROR(H957/I957,0)</f>
        <v>0</v>
      </c>
      <c r="P957" s="11">
        <f>IFERROR((J957-H957)/H957,0)</f>
        <v>0</v>
      </c>
    </row>
    <row r="958" spans="1:16">
      <c r="A958">
        <v>737961</v>
      </c>
      <c r="B958" t="s">
        <v>161</v>
      </c>
      <c r="C958" t="s">
        <v>0</v>
      </c>
      <c r="D958" t="s">
        <v>5</v>
      </c>
      <c r="E958" s="14">
        <v>23</v>
      </c>
      <c r="F958" s="14">
        <v>523</v>
      </c>
      <c r="G958" s="14">
        <v>0</v>
      </c>
      <c r="H958" s="13">
        <v>0</v>
      </c>
      <c r="I958" s="14">
        <v>0</v>
      </c>
      <c r="J958" s="11">
        <f>I958*85</f>
        <v>0</v>
      </c>
      <c r="K958" s="11">
        <f>J958-H958</f>
        <v>0</v>
      </c>
      <c r="L958" s="10">
        <f>G958/F958</f>
        <v>0</v>
      </c>
      <c r="M958" s="14">
        <f>IFERROR(ROUND(I958/G958,2),0)</f>
        <v>0</v>
      </c>
      <c r="N958" s="11">
        <f>IFERROR(H958/G958,0)</f>
        <v>0</v>
      </c>
      <c r="O958" s="11">
        <f>IFERROR(H958/I958,0)</f>
        <v>0</v>
      </c>
      <c r="P958" s="11">
        <f>IFERROR((J958-H958)/H958,0)</f>
        <v>0</v>
      </c>
    </row>
    <row r="959" spans="1:16">
      <c r="A959">
        <v>737995</v>
      </c>
      <c r="B959" t="s">
        <v>161</v>
      </c>
      <c r="C959" t="s">
        <v>0</v>
      </c>
      <c r="D959" t="s">
        <v>5</v>
      </c>
      <c r="E959" s="14">
        <v>26</v>
      </c>
      <c r="F959" s="14">
        <v>1873</v>
      </c>
      <c r="G959" s="14">
        <v>0</v>
      </c>
      <c r="H959" s="13">
        <v>0</v>
      </c>
      <c r="I959" s="14">
        <v>0</v>
      </c>
      <c r="J959" s="11">
        <f>I959*85</f>
        <v>0</v>
      </c>
      <c r="K959" s="11">
        <f>J959-H959</f>
        <v>0</v>
      </c>
      <c r="L959" s="10">
        <f>G959/F959</f>
        <v>0</v>
      </c>
      <c r="M959" s="14">
        <f>IFERROR(ROUND(I959/G959,2),0)</f>
        <v>0</v>
      </c>
      <c r="N959" s="11">
        <f>IFERROR(H959/G959,0)</f>
        <v>0</v>
      </c>
      <c r="O959" s="11">
        <f>IFERROR(H959/I959,0)</f>
        <v>0</v>
      </c>
      <c r="P959" s="11">
        <f>IFERROR((J959-H959)/H959,0)</f>
        <v>0</v>
      </c>
    </row>
    <row r="960" spans="1:16">
      <c r="A960">
        <v>738067</v>
      </c>
      <c r="B960" t="s">
        <v>161</v>
      </c>
      <c r="C960" t="s">
        <v>0</v>
      </c>
      <c r="D960" t="s">
        <v>5</v>
      </c>
      <c r="E960" s="14">
        <v>32</v>
      </c>
      <c r="F960" s="14">
        <v>658</v>
      </c>
      <c r="G960" s="14">
        <v>0</v>
      </c>
      <c r="H960" s="13">
        <v>0</v>
      </c>
      <c r="I960" s="14">
        <v>0</v>
      </c>
      <c r="J960" s="11">
        <f>I960*85</f>
        <v>0</v>
      </c>
      <c r="K960" s="11">
        <f>J960-H960</f>
        <v>0</v>
      </c>
      <c r="L960" s="10">
        <f>G960/F960</f>
        <v>0</v>
      </c>
      <c r="M960" s="14">
        <f>IFERROR(ROUND(I960/G960,2),0)</f>
        <v>0</v>
      </c>
      <c r="N960" s="11">
        <f>IFERROR(H960/G960,0)</f>
        <v>0</v>
      </c>
      <c r="O960" s="11">
        <f>IFERROR(H960/I960,0)</f>
        <v>0</v>
      </c>
      <c r="P960" s="11">
        <f>IFERROR((J960-H960)/H960,0)</f>
        <v>0</v>
      </c>
    </row>
    <row r="961" spans="1:16">
      <c r="A961">
        <v>738098</v>
      </c>
      <c r="B961" t="s">
        <v>161</v>
      </c>
      <c r="C961" t="s">
        <v>0</v>
      </c>
      <c r="D961" t="s">
        <v>5</v>
      </c>
      <c r="E961" s="14">
        <v>64</v>
      </c>
      <c r="F961" s="14">
        <v>1539</v>
      </c>
      <c r="G961" s="14">
        <v>0</v>
      </c>
      <c r="H961" s="13">
        <v>0</v>
      </c>
      <c r="I961" s="14">
        <v>0</v>
      </c>
      <c r="J961" s="11">
        <f>I961*85</f>
        <v>0</v>
      </c>
      <c r="K961" s="11">
        <f>J961-H961</f>
        <v>0</v>
      </c>
      <c r="L961" s="10">
        <f>G961/F961</f>
        <v>0</v>
      </c>
      <c r="M961" s="14">
        <f>IFERROR(ROUND(I961/G961,2),0)</f>
        <v>0</v>
      </c>
      <c r="N961" s="11">
        <f>IFERROR(H961/G961,0)</f>
        <v>0</v>
      </c>
      <c r="O961" s="11">
        <f>IFERROR(H961/I961,0)</f>
        <v>0</v>
      </c>
      <c r="P961" s="11">
        <f>IFERROR((J961-H961)/H961,0)</f>
        <v>0</v>
      </c>
    </row>
    <row r="962" spans="1:16">
      <c r="A962">
        <v>738463</v>
      </c>
      <c r="B962" t="s">
        <v>161</v>
      </c>
      <c r="C962" t="s">
        <v>3</v>
      </c>
      <c r="D962" t="s">
        <v>5</v>
      </c>
      <c r="E962" s="14">
        <v>21</v>
      </c>
      <c r="F962" s="14">
        <v>542</v>
      </c>
      <c r="G962" s="14">
        <v>0</v>
      </c>
      <c r="H962" s="13">
        <v>0</v>
      </c>
      <c r="I962" s="14">
        <v>0</v>
      </c>
      <c r="J962" s="11">
        <f>I962*85</f>
        <v>0</v>
      </c>
      <c r="K962" s="11">
        <f>J962-H962</f>
        <v>0</v>
      </c>
      <c r="L962" s="10">
        <f>G962/F962</f>
        <v>0</v>
      </c>
      <c r="M962" s="14">
        <f>IFERROR(ROUND(I962/G962,2),0)</f>
        <v>0</v>
      </c>
      <c r="N962" s="11">
        <f>IFERROR(H962/G962,0)</f>
        <v>0</v>
      </c>
      <c r="O962" s="11">
        <f>IFERROR(H962/I962,0)</f>
        <v>0</v>
      </c>
      <c r="P962" s="11">
        <f>IFERROR((J962-H962)/H962,0)</f>
        <v>0</v>
      </c>
    </row>
    <row r="963" spans="1:16">
      <c r="A963">
        <v>738528</v>
      </c>
      <c r="B963" t="s">
        <v>161</v>
      </c>
      <c r="C963" t="s">
        <v>3</v>
      </c>
      <c r="D963" t="s">
        <v>5</v>
      </c>
      <c r="E963" s="14">
        <v>30</v>
      </c>
      <c r="F963" s="14">
        <v>402</v>
      </c>
      <c r="G963" s="14">
        <v>0</v>
      </c>
      <c r="H963" s="13">
        <v>0</v>
      </c>
      <c r="I963" s="14">
        <v>0</v>
      </c>
      <c r="J963" s="11">
        <f>I963*85</f>
        <v>0</v>
      </c>
      <c r="K963" s="11">
        <f>J963-H963</f>
        <v>0</v>
      </c>
      <c r="L963" s="10">
        <f>G963/F963</f>
        <v>0</v>
      </c>
      <c r="M963" s="14">
        <f>IFERROR(ROUND(I963/G963,2),0)</f>
        <v>0</v>
      </c>
      <c r="N963" s="11">
        <f>IFERROR(H963/G963,0)</f>
        <v>0</v>
      </c>
      <c r="O963" s="11">
        <f>IFERROR(H963/I963,0)</f>
        <v>0</v>
      </c>
      <c r="P963" s="11">
        <f>IFERROR((J963-H963)/H963,0)</f>
        <v>0</v>
      </c>
    </row>
    <row r="964" spans="1:16">
      <c r="A964">
        <v>738560</v>
      </c>
      <c r="B964" t="s">
        <v>161</v>
      </c>
      <c r="C964" t="s">
        <v>3</v>
      </c>
      <c r="D964" t="s">
        <v>5</v>
      </c>
      <c r="E964" s="14">
        <v>64</v>
      </c>
      <c r="F964" s="14">
        <v>1338</v>
      </c>
      <c r="G964" s="14">
        <v>0</v>
      </c>
      <c r="H964" s="13">
        <v>0</v>
      </c>
      <c r="I964" s="14">
        <v>0</v>
      </c>
      <c r="J964" s="11">
        <f>I964*85</f>
        <v>0</v>
      </c>
      <c r="K964" s="11">
        <f>J964-H964</f>
        <v>0</v>
      </c>
      <c r="L964" s="10">
        <f>G964/F964</f>
        <v>0</v>
      </c>
      <c r="M964" s="14">
        <f>IFERROR(ROUND(I964/G964,2),0)</f>
        <v>0</v>
      </c>
      <c r="N964" s="11">
        <f>IFERROR(H964/G964,0)</f>
        <v>0</v>
      </c>
      <c r="O964" s="11">
        <f>IFERROR(H964/I964,0)</f>
        <v>0</v>
      </c>
      <c r="P964" s="11">
        <f>IFERROR((J964-H964)/H964,0)</f>
        <v>0</v>
      </c>
    </row>
    <row r="965" spans="1:16">
      <c r="A965">
        <v>738606</v>
      </c>
      <c r="B965" t="s">
        <v>161</v>
      </c>
      <c r="C965" t="s">
        <v>4</v>
      </c>
      <c r="D965" t="s">
        <v>5</v>
      </c>
      <c r="E965" s="14">
        <v>19</v>
      </c>
      <c r="F965" s="14">
        <v>529</v>
      </c>
      <c r="G965" s="14">
        <v>0</v>
      </c>
      <c r="H965" s="13">
        <v>0</v>
      </c>
      <c r="I965" s="14">
        <v>0</v>
      </c>
      <c r="J965" s="11">
        <f>I965*85</f>
        <v>0</v>
      </c>
      <c r="K965" s="11">
        <f>J965-H965</f>
        <v>0</v>
      </c>
      <c r="L965" s="10">
        <f>G965/F965</f>
        <v>0</v>
      </c>
      <c r="M965" s="14">
        <f>IFERROR(ROUND(I965/G965,2),0)</f>
        <v>0</v>
      </c>
      <c r="N965" s="11">
        <f>IFERROR(H965/G965,0)</f>
        <v>0</v>
      </c>
      <c r="O965" s="11">
        <f>IFERROR(H965/I965,0)</f>
        <v>0</v>
      </c>
      <c r="P965" s="11">
        <f>IFERROR((J965-H965)/H965,0)</f>
        <v>0</v>
      </c>
    </row>
    <row r="966" spans="1:16">
      <c r="A966">
        <v>747213</v>
      </c>
      <c r="B966" t="s">
        <v>161</v>
      </c>
      <c r="C966" t="s">
        <v>0</v>
      </c>
      <c r="D966" t="s">
        <v>1</v>
      </c>
      <c r="E966" s="14">
        <v>10</v>
      </c>
      <c r="F966" s="14">
        <v>1746</v>
      </c>
      <c r="G966" s="14">
        <v>0</v>
      </c>
      <c r="H966" s="13">
        <v>0</v>
      </c>
      <c r="I966" s="14">
        <v>0</v>
      </c>
      <c r="J966" s="11">
        <f>I966*85</f>
        <v>0</v>
      </c>
      <c r="K966" s="11">
        <f>J966-H966</f>
        <v>0</v>
      </c>
      <c r="L966" s="10">
        <f>G966/F966</f>
        <v>0</v>
      </c>
      <c r="M966" s="14">
        <f>IFERROR(ROUND(I966/G966,2),0)</f>
        <v>0</v>
      </c>
      <c r="N966" s="11">
        <f>IFERROR(H966/G966,0)</f>
        <v>0</v>
      </c>
      <c r="O966" s="11">
        <f>IFERROR(H966/I966,0)</f>
        <v>0</v>
      </c>
      <c r="P966" s="11">
        <f>IFERROR((J966-H966)/H966,0)</f>
        <v>0</v>
      </c>
    </row>
    <row r="967" spans="1:16">
      <c r="A967">
        <v>747220</v>
      </c>
      <c r="B967" t="s">
        <v>161</v>
      </c>
      <c r="C967" t="s">
        <v>0</v>
      </c>
      <c r="D967" t="s">
        <v>1</v>
      </c>
      <c r="E967" s="14">
        <v>15</v>
      </c>
      <c r="F967" s="14">
        <v>2474</v>
      </c>
      <c r="G967" s="14">
        <v>0</v>
      </c>
      <c r="H967" s="13">
        <v>0</v>
      </c>
      <c r="I967" s="14">
        <v>0</v>
      </c>
      <c r="J967" s="11">
        <f>I967*85</f>
        <v>0</v>
      </c>
      <c r="K967" s="11">
        <f>J967-H967</f>
        <v>0</v>
      </c>
      <c r="L967" s="10">
        <f>G967/F967</f>
        <v>0</v>
      </c>
      <c r="M967" s="14">
        <f>IFERROR(ROUND(I967/G967,2),0)</f>
        <v>0</v>
      </c>
      <c r="N967" s="11">
        <f>IFERROR(H967/G967,0)</f>
        <v>0</v>
      </c>
      <c r="O967" s="11">
        <f>IFERROR(H967/I967,0)</f>
        <v>0</v>
      </c>
      <c r="P967" s="11">
        <f>IFERROR((J967-H967)/H967,0)</f>
        <v>0</v>
      </c>
    </row>
    <row r="968" spans="1:16">
      <c r="A968">
        <v>747248</v>
      </c>
      <c r="B968" t="s">
        <v>161</v>
      </c>
      <c r="C968" t="s">
        <v>0</v>
      </c>
      <c r="D968" t="s">
        <v>1</v>
      </c>
      <c r="E968" s="14">
        <v>21</v>
      </c>
      <c r="F968" s="14">
        <v>472</v>
      </c>
      <c r="G968" s="14">
        <v>0</v>
      </c>
      <c r="H968" s="13">
        <v>0</v>
      </c>
      <c r="I968" s="14">
        <v>0</v>
      </c>
      <c r="J968" s="11">
        <f>I968*85</f>
        <v>0</v>
      </c>
      <c r="K968" s="11">
        <f>J968-H968</f>
        <v>0</v>
      </c>
      <c r="L968" s="10">
        <f>G968/F968</f>
        <v>0</v>
      </c>
      <c r="M968" s="14">
        <f>IFERROR(ROUND(I968/G968,2),0)</f>
        <v>0</v>
      </c>
      <c r="N968" s="11">
        <f>IFERROR(H968/G968,0)</f>
        <v>0</v>
      </c>
      <c r="O968" s="11">
        <f>IFERROR(H968/I968,0)</f>
        <v>0</v>
      </c>
      <c r="P968" s="11">
        <f>IFERROR((J968-H968)/H968,0)</f>
        <v>0</v>
      </c>
    </row>
    <row r="969" spans="1:16">
      <c r="A969">
        <v>747332</v>
      </c>
      <c r="B969" t="s">
        <v>161</v>
      </c>
      <c r="C969" t="s">
        <v>0</v>
      </c>
      <c r="D969" t="s">
        <v>1</v>
      </c>
      <c r="E969" s="14">
        <v>64</v>
      </c>
      <c r="F969" s="14">
        <v>792</v>
      </c>
      <c r="G969" s="14">
        <v>0</v>
      </c>
      <c r="H969" s="13">
        <v>0</v>
      </c>
      <c r="I969" s="14">
        <v>0</v>
      </c>
      <c r="J969" s="11">
        <f>I969*85</f>
        <v>0</v>
      </c>
      <c r="K969" s="11">
        <f>J969-H969</f>
        <v>0</v>
      </c>
      <c r="L969" s="10">
        <f>G969/F969</f>
        <v>0</v>
      </c>
      <c r="M969" s="14">
        <f>IFERROR(ROUND(I969/G969,2),0)</f>
        <v>0</v>
      </c>
      <c r="N969" s="11">
        <f>IFERROR(H969/G969,0)</f>
        <v>0</v>
      </c>
      <c r="O969" s="11">
        <f>IFERROR(H969/I969,0)</f>
        <v>0</v>
      </c>
      <c r="P969" s="11">
        <f>IFERROR((J969-H969)/H969,0)</f>
        <v>0</v>
      </c>
    </row>
    <row r="970" spans="1:16">
      <c r="A970">
        <v>747370</v>
      </c>
      <c r="B970" t="s">
        <v>161</v>
      </c>
      <c r="C970" t="s">
        <v>2</v>
      </c>
      <c r="D970" t="s">
        <v>1</v>
      </c>
      <c r="E970" s="14">
        <v>16</v>
      </c>
      <c r="F970" s="14">
        <v>2936</v>
      </c>
      <c r="G970" s="14">
        <v>0</v>
      </c>
      <c r="H970" s="13">
        <v>0</v>
      </c>
      <c r="I970" s="14">
        <v>0</v>
      </c>
      <c r="J970" s="11">
        <f>I970*85</f>
        <v>0</v>
      </c>
      <c r="K970" s="11">
        <f>J970-H970</f>
        <v>0</v>
      </c>
      <c r="L970" s="10">
        <f>G970/F970</f>
        <v>0</v>
      </c>
      <c r="M970" s="14">
        <f>IFERROR(ROUND(I970/G970,2),0)</f>
        <v>0</v>
      </c>
      <c r="N970" s="11">
        <f>IFERROR(H970/G970,0)</f>
        <v>0</v>
      </c>
      <c r="O970" s="11">
        <f>IFERROR(H970/I970,0)</f>
        <v>0</v>
      </c>
      <c r="P970" s="11">
        <f>IFERROR((J970-H970)/H970,0)</f>
        <v>0</v>
      </c>
    </row>
    <row r="971" spans="1:16">
      <c r="A971">
        <v>747435</v>
      </c>
      <c r="B971" t="s">
        <v>161</v>
      </c>
      <c r="C971" t="s">
        <v>2</v>
      </c>
      <c r="D971" t="s">
        <v>1</v>
      </c>
      <c r="E971" s="14">
        <v>28</v>
      </c>
      <c r="F971" s="14">
        <v>1032</v>
      </c>
      <c r="G971" s="14">
        <v>0</v>
      </c>
      <c r="H971" s="13">
        <v>0</v>
      </c>
      <c r="I971" s="14">
        <v>0</v>
      </c>
      <c r="J971" s="11">
        <f>I971*85</f>
        <v>0</v>
      </c>
      <c r="K971" s="11">
        <f>J971-H971</f>
        <v>0</v>
      </c>
      <c r="L971" s="10">
        <f>G971/F971</f>
        <v>0</v>
      </c>
      <c r="M971" s="14">
        <f>IFERROR(ROUND(I971/G971,2),0)</f>
        <v>0</v>
      </c>
      <c r="N971" s="11">
        <f>IFERROR(H971/G971,0)</f>
        <v>0</v>
      </c>
      <c r="O971" s="11">
        <f>IFERROR(H971/I971,0)</f>
        <v>0</v>
      </c>
      <c r="P971" s="11">
        <f>IFERROR((J971-H971)/H971,0)</f>
        <v>0</v>
      </c>
    </row>
    <row r="972" spans="1:16">
      <c r="A972">
        <v>747439</v>
      </c>
      <c r="B972" t="s">
        <v>161</v>
      </c>
      <c r="C972" t="s">
        <v>2</v>
      </c>
      <c r="D972" t="s">
        <v>1</v>
      </c>
      <c r="E972" s="14">
        <v>29</v>
      </c>
      <c r="F972" s="14">
        <v>1662</v>
      </c>
      <c r="G972" s="14">
        <v>0</v>
      </c>
      <c r="H972" s="13">
        <v>0</v>
      </c>
      <c r="I972" s="14">
        <v>0</v>
      </c>
      <c r="J972" s="11">
        <f>I972*85</f>
        <v>0</v>
      </c>
      <c r="K972" s="11">
        <f>J972-H972</f>
        <v>0</v>
      </c>
      <c r="L972" s="10">
        <f>G972/F972</f>
        <v>0</v>
      </c>
      <c r="M972" s="14">
        <f>IFERROR(ROUND(I972/G972,2),0)</f>
        <v>0</v>
      </c>
      <c r="N972" s="11">
        <f>IFERROR(H972/G972,0)</f>
        <v>0</v>
      </c>
      <c r="O972" s="11">
        <f>IFERROR(H972/I972,0)</f>
        <v>0</v>
      </c>
      <c r="P972" s="11">
        <f>IFERROR((J972-H972)/H972,0)</f>
        <v>0</v>
      </c>
    </row>
    <row r="973" spans="1:16">
      <c r="A973">
        <v>747675</v>
      </c>
      <c r="B973" t="s">
        <v>161</v>
      </c>
      <c r="C973" t="s">
        <v>4</v>
      </c>
      <c r="D973" t="s">
        <v>1</v>
      </c>
      <c r="E973" s="14">
        <v>20</v>
      </c>
      <c r="F973" s="14">
        <v>673</v>
      </c>
      <c r="G973" s="14">
        <v>0</v>
      </c>
      <c r="H973" s="13">
        <v>0</v>
      </c>
      <c r="I973" s="14">
        <v>0</v>
      </c>
      <c r="J973" s="11">
        <f>I973*85</f>
        <v>0</v>
      </c>
      <c r="K973" s="11">
        <f>J973-H973</f>
        <v>0</v>
      </c>
      <c r="L973" s="10">
        <f>G973/F973</f>
        <v>0</v>
      </c>
      <c r="M973" s="14">
        <f>IFERROR(ROUND(I973/G973,2),0)</f>
        <v>0</v>
      </c>
      <c r="N973" s="11">
        <f>IFERROR(H973/G973,0)</f>
        <v>0</v>
      </c>
      <c r="O973" s="11">
        <f>IFERROR(H973/I973,0)</f>
        <v>0</v>
      </c>
      <c r="P973" s="11">
        <f>IFERROR((J973-H973)/H973,0)</f>
        <v>0</v>
      </c>
    </row>
    <row r="974" spans="1:16">
      <c r="A974">
        <v>747678</v>
      </c>
      <c r="B974" t="s">
        <v>161</v>
      </c>
      <c r="C974" t="s">
        <v>4</v>
      </c>
      <c r="D974" t="s">
        <v>1</v>
      </c>
      <c r="E974" s="14">
        <v>21</v>
      </c>
      <c r="F974" s="14">
        <v>370</v>
      </c>
      <c r="G974" s="14">
        <v>0</v>
      </c>
      <c r="H974" s="13">
        <v>0</v>
      </c>
      <c r="I974" s="14">
        <v>0</v>
      </c>
      <c r="J974" s="11">
        <f>I974*85</f>
        <v>0</v>
      </c>
      <c r="K974" s="11">
        <f>J974-H974</f>
        <v>0</v>
      </c>
      <c r="L974" s="10">
        <f>G974/F974</f>
        <v>0</v>
      </c>
      <c r="M974" s="14">
        <f>IFERROR(ROUND(I974/G974,2),0)</f>
        <v>0</v>
      </c>
      <c r="N974" s="11">
        <f>IFERROR(H974/G974,0)</f>
        <v>0</v>
      </c>
      <c r="O974" s="11">
        <f>IFERROR(H974/I974,0)</f>
        <v>0</v>
      </c>
      <c r="P974" s="11">
        <f>IFERROR((J974-H974)/H974,0)</f>
        <v>0</v>
      </c>
    </row>
    <row r="975" spans="1:16">
      <c r="A975">
        <v>747712</v>
      </c>
      <c r="B975" t="s">
        <v>161</v>
      </c>
      <c r="C975" t="s">
        <v>4</v>
      </c>
      <c r="D975" t="s">
        <v>1</v>
      </c>
      <c r="E975" s="14">
        <v>26</v>
      </c>
      <c r="F975" s="14">
        <v>450</v>
      </c>
      <c r="G975" s="14">
        <v>0</v>
      </c>
      <c r="H975" s="13">
        <v>0</v>
      </c>
      <c r="I975" s="14">
        <v>0</v>
      </c>
      <c r="J975" s="11">
        <f>I975*85</f>
        <v>0</v>
      </c>
      <c r="K975" s="11">
        <f>J975-H975</f>
        <v>0</v>
      </c>
      <c r="L975" s="10">
        <f>G975/F975</f>
        <v>0</v>
      </c>
      <c r="M975" s="14">
        <f>IFERROR(ROUND(I975/G975,2),0)</f>
        <v>0</v>
      </c>
      <c r="N975" s="11">
        <f>IFERROR(H975/G975,0)</f>
        <v>0</v>
      </c>
      <c r="O975" s="11">
        <f>IFERROR(H975/I975,0)</f>
        <v>0</v>
      </c>
      <c r="P975" s="11">
        <f>IFERROR((J975-H975)/H975,0)</f>
        <v>0</v>
      </c>
    </row>
    <row r="976" spans="1:16">
      <c r="A976">
        <v>747790</v>
      </c>
      <c r="B976" t="s">
        <v>161</v>
      </c>
      <c r="C976" t="s">
        <v>0</v>
      </c>
      <c r="D976" t="s">
        <v>5</v>
      </c>
      <c r="E976" s="14">
        <v>10</v>
      </c>
      <c r="F976" s="14">
        <v>2077</v>
      </c>
      <c r="G976" s="14">
        <v>0</v>
      </c>
      <c r="H976" s="13">
        <v>0</v>
      </c>
      <c r="I976" s="14">
        <v>0</v>
      </c>
      <c r="J976" s="11">
        <f>I976*85</f>
        <v>0</v>
      </c>
      <c r="K976" s="11">
        <f>J976-H976</f>
        <v>0</v>
      </c>
      <c r="L976" s="10">
        <f>G976/F976</f>
        <v>0</v>
      </c>
      <c r="M976" s="14">
        <f>IFERROR(ROUND(I976/G976,2),0)</f>
        <v>0</v>
      </c>
      <c r="N976" s="11">
        <f>IFERROR(H976/G976,0)</f>
        <v>0</v>
      </c>
      <c r="O976" s="11">
        <f>IFERROR(H976/I976,0)</f>
        <v>0</v>
      </c>
      <c r="P976" s="11">
        <f>IFERROR((J976-H976)/H976,0)</f>
        <v>0</v>
      </c>
    </row>
    <row r="977" spans="1:16">
      <c r="A977">
        <v>747824</v>
      </c>
      <c r="B977" t="s">
        <v>161</v>
      </c>
      <c r="C977" t="s">
        <v>0</v>
      </c>
      <c r="D977" t="s">
        <v>5</v>
      </c>
      <c r="E977" s="14">
        <v>21</v>
      </c>
      <c r="F977" s="14">
        <v>608</v>
      </c>
      <c r="G977" s="14">
        <v>0</v>
      </c>
      <c r="H977" s="13">
        <v>0</v>
      </c>
      <c r="I977" s="14">
        <v>0</v>
      </c>
      <c r="J977" s="11">
        <f>I977*85</f>
        <v>0</v>
      </c>
      <c r="K977" s="11">
        <f>J977-H977</f>
        <v>0</v>
      </c>
      <c r="L977" s="10">
        <f>G977/F977</f>
        <v>0</v>
      </c>
      <c r="M977" s="14">
        <f>IFERROR(ROUND(I977/G977,2),0)</f>
        <v>0</v>
      </c>
      <c r="N977" s="11">
        <f>IFERROR(H977/G977,0)</f>
        <v>0</v>
      </c>
      <c r="O977" s="11">
        <f>IFERROR(H977/I977,0)</f>
        <v>0</v>
      </c>
      <c r="P977" s="11">
        <f>IFERROR((J977-H977)/H977,0)</f>
        <v>0</v>
      </c>
    </row>
    <row r="978" spans="1:16">
      <c r="A978">
        <v>747863</v>
      </c>
      <c r="B978" t="s">
        <v>161</v>
      </c>
      <c r="C978" t="s">
        <v>0</v>
      </c>
      <c r="D978" t="s">
        <v>5</v>
      </c>
      <c r="E978" s="14">
        <v>27</v>
      </c>
      <c r="F978" s="14">
        <v>1955</v>
      </c>
      <c r="G978" s="14">
        <v>0</v>
      </c>
      <c r="H978" s="13">
        <v>0</v>
      </c>
      <c r="I978" s="14">
        <v>0</v>
      </c>
      <c r="J978" s="11">
        <f>I978*85</f>
        <v>0</v>
      </c>
      <c r="K978" s="11">
        <f>J978-H978</f>
        <v>0</v>
      </c>
      <c r="L978" s="10">
        <f>G978/F978</f>
        <v>0</v>
      </c>
      <c r="M978" s="14">
        <f>IFERROR(ROUND(I978/G978,2),0)</f>
        <v>0</v>
      </c>
      <c r="N978" s="11">
        <f>IFERROR(H978/G978,0)</f>
        <v>0</v>
      </c>
      <c r="O978" s="11">
        <f>IFERROR(H978/I978,0)</f>
        <v>0</v>
      </c>
      <c r="P978" s="11">
        <f>IFERROR((J978-H978)/H978,0)</f>
        <v>0</v>
      </c>
    </row>
    <row r="979" spans="1:16">
      <c r="A979">
        <v>747879</v>
      </c>
      <c r="B979" t="s">
        <v>161</v>
      </c>
      <c r="C979" t="s">
        <v>0</v>
      </c>
      <c r="D979" t="s">
        <v>5</v>
      </c>
      <c r="E979" s="14">
        <v>30</v>
      </c>
      <c r="F979" s="14">
        <v>493</v>
      </c>
      <c r="G979" s="14">
        <v>0</v>
      </c>
      <c r="H979" s="13">
        <v>0</v>
      </c>
      <c r="I979" s="14">
        <v>0</v>
      </c>
      <c r="J979" s="11">
        <f>I979*85</f>
        <v>0</v>
      </c>
      <c r="K979" s="11">
        <f>J979-H979</f>
        <v>0</v>
      </c>
      <c r="L979" s="10">
        <f>G979/F979</f>
        <v>0</v>
      </c>
      <c r="M979" s="14">
        <f>IFERROR(ROUND(I979/G979,2),0)</f>
        <v>0</v>
      </c>
      <c r="N979" s="11">
        <f>IFERROR(H979/G979,0)</f>
        <v>0</v>
      </c>
      <c r="O979" s="11">
        <f>IFERROR(H979/I979,0)</f>
        <v>0</v>
      </c>
      <c r="P979" s="11">
        <f>IFERROR((J979-H979)/H979,0)</f>
        <v>0</v>
      </c>
    </row>
    <row r="980" spans="1:16">
      <c r="A980">
        <v>747903</v>
      </c>
      <c r="B980" t="s">
        <v>161</v>
      </c>
      <c r="C980" t="s">
        <v>0</v>
      </c>
      <c r="D980" t="s">
        <v>5</v>
      </c>
      <c r="E980" s="14">
        <v>63</v>
      </c>
      <c r="F980" s="14">
        <v>1491</v>
      </c>
      <c r="G980" s="14">
        <v>0</v>
      </c>
      <c r="H980" s="13">
        <v>0</v>
      </c>
      <c r="I980" s="14">
        <v>0</v>
      </c>
      <c r="J980" s="11">
        <f>I980*85</f>
        <v>0</v>
      </c>
      <c r="K980" s="11">
        <f>J980-H980</f>
        <v>0</v>
      </c>
      <c r="L980" s="10">
        <f>G980/F980</f>
        <v>0</v>
      </c>
      <c r="M980" s="14">
        <f>IFERROR(ROUND(I980/G980,2),0)</f>
        <v>0</v>
      </c>
      <c r="N980" s="11">
        <f>IFERROR(H980/G980,0)</f>
        <v>0</v>
      </c>
      <c r="O980" s="11">
        <f>IFERROR(H980/I980,0)</f>
        <v>0</v>
      </c>
      <c r="P980" s="11">
        <f>IFERROR((J980-H980)/H980,0)</f>
        <v>0</v>
      </c>
    </row>
    <row r="981" spans="1:16">
      <c r="A981">
        <v>747911</v>
      </c>
      <c r="B981" t="s">
        <v>161</v>
      </c>
      <c r="C981" t="s">
        <v>0</v>
      </c>
      <c r="D981" t="s">
        <v>5</v>
      </c>
      <c r="E981" s="14">
        <v>64</v>
      </c>
      <c r="F981" s="14">
        <v>1495</v>
      </c>
      <c r="G981" s="14">
        <v>0</v>
      </c>
      <c r="H981" s="13">
        <v>0</v>
      </c>
      <c r="I981" s="14">
        <v>0</v>
      </c>
      <c r="J981" s="11">
        <f>I981*85</f>
        <v>0</v>
      </c>
      <c r="K981" s="11">
        <f>J981-H981</f>
        <v>0</v>
      </c>
      <c r="L981" s="10">
        <f>G981/F981</f>
        <v>0</v>
      </c>
      <c r="M981" s="14">
        <f>IFERROR(ROUND(I981/G981,2),0)</f>
        <v>0</v>
      </c>
      <c r="N981" s="11">
        <f>IFERROR(H981/G981,0)</f>
        <v>0</v>
      </c>
      <c r="O981" s="11">
        <f>IFERROR(H981/I981,0)</f>
        <v>0</v>
      </c>
      <c r="P981" s="11">
        <f>IFERROR((J981-H981)/H981,0)</f>
        <v>0</v>
      </c>
    </row>
    <row r="982" spans="1:16">
      <c r="A982">
        <v>747968</v>
      </c>
      <c r="B982" t="s">
        <v>161</v>
      </c>
      <c r="C982" t="s">
        <v>2</v>
      </c>
      <c r="D982" t="s">
        <v>5</v>
      </c>
      <c r="E982" s="14">
        <v>21</v>
      </c>
      <c r="F982" s="14">
        <v>512</v>
      </c>
      <c r="G982" s="14">
        <v>0</v>
      </c>
      <c r="H982" s="13">
        <v>0</v>
      </c>
      <c r="I982" s="14">
        <v>0</v>
      </c>
      <c r="J982" s="11">
        <f>I982*85</f>
        <v>0</v>
      </c>
      <c r="K982" s="11">
        <f>J982-H982</f>
        <v>0</v>
      </c>
      <c r="L982" s="10">
        <f>G982/F982</f>
        <v>0</v>
      </c>
      <c r="M982" s="14">
        <f>IFERROR(ROUND(I982/G982,2),0)</f>
        <v>0</v>
      </c>
      <c r="N982" s="11">
        <f>IFERROR(H982/G982,0)</f>
        <v>0</v>
      </c>
      <c r="O982" s="11">
        <f>IFERROR(H982/I982,0)</f>
        <v>0</v>
      </c>
      <c r="P982" s="11">
        <f>IFERROR((J982-H982)/H982,0)</f>
        <v>0</v>
      </c>
    </row>
    <row r="983" spans="1:16">
      <c r="A983">
        <v>748045</v>
      </c>
      <c r="B983" t="s">
        <v>161</v>
      </c>
      <c r="C983" t="s">
        <v>2</v>
      </c>
      <c r="D983" t="s">
        <v>5</v>
      </c>
      <c r="E983" s="14">
        <v>63</v>
      </c>
      <c r="F983" s="14">
        <v>1238</v>
      </c>
      <c r="G983" s="14">
        <v>0</v>
      </c>
      <c r="H983" s="13">
        <v>0</v>
      </c>
      <c r="I983" s="14">
        <v>0</v>
      </c>
      <c r="J983" s="11">
        <f>I983*85</f>
        <v>0</v>
      </c>
      <c r="K983" s="11">
        <f>J983-H983</f>
        <v>0</v>
      </c>
      <c r="L983" s="10">
        <f>G983/F983</f>
        <v>0</v>
      </c>
      <c r="M983" s="14">
        <f>IFERROR(ROUND(I983/G983,2),0)</f>
        <v>0</v>
      </c>
      <c r="N983" s="11">
        <f>IFERROR(H983/G983,0)</f>
        <v>0</v>
      </c>
      <c r="O983" s="11">
        <f>IFERROR(H983/I983,0)</f>
        <v>0</v>
      </c>
      <c r="P983" s="11">
        <f>IFERROR((J983-H983)/H983,0)</f>
        <v>0</v>
      </c>
    </row>
    <row r="984" spans="1:16">
      <c r="A984">
        <v>748341</v>
      </c>
      <c r="B984" t="s">
        <v>161</v>
      </c>
      <c r="C984" t="s">
        <v>4</v>
      </c>
      <c r="D984" t="s">
        <v>5</v>
      </c>
      <c r="E984" s="14">
        <v>64</v>
      </c>
      <c r="F984" s="14">
        <v>1363</v>
      </c>
      <c r="G984" s="14">
        <v>0</v>
      </c>
      <c r="H984" s="13">
        <v>0</v>
      </c>
      <c r="I984" s="14">
        <v>0</v>
      </c>
      <c r="J984" s="11">
        <f>I984*85</f>
        <v>0</v>
      </c>
      <c r="K984" s="11">
        <f>J984-H984</f>
        <v>0</v>
      </c>
      <c r="L984" s="10">
        <f>G984/F984</f>
        <v>0</v>
      </c>
      <c r="M984" s="14">
        <f>IFERROR(ROUND(I984/G984,2),0)</f>
        <v>0</v>
      </c>
      <c r="N984" s="11">
        <f>IFERROR(H984/G984,0)</f>
        <v>0</v>
      </c>
      <c r="O984" s="11">
        <f>IFERROR(H984/I984,0)</f>
        <v>0</v>
      </c>
      <c r="P984" s="11">
        <f>IFERROR((J984-H984)/H984,0)</f>
        <v>0</v>
      </c>
    </row>
    <row r="985" spans="1:16">
      <c r="A985">
        <v>776318</v>
      </c>
      <c r="B985" t="s">
        <v>161</v>
      </c>
      <c r="C985" t="s">
        <v>4</v>
      </c>
      <c r="D985" t="s">
        <v>5</v>
      </c>
      <c r="E985" s="14">
        <v>15</v>
      </c>
      <c r="F985" s="14">
        <v>3569</v>
      </c>
      <c r="G985" s="14">
        <v>0</v>
      </c>
      <c r="H985" s="13">
        <v>0</v>
      </c>
      <c r="I985" s="14">
        <v>0</v>
      </c>
      <c r="J985" s="11">
        <f>I985*85</f>
        <v>0</v>
      </c>
      <c r="K985" s="11">
        <f>J985-H985</f>
        <v>0</v>
      </c>
      <c r="L985" s="10">
        <f>G985/F985</f>
        <v>0</v>
      </c>
      <c r="M985" s="14">
        <f>IFERROR(ROUND(I985/G985,2),0)</f>
        <v>0</v>
      </c>
      <c r="N985" s="11">
        <f>IFERROR(H985/G985,0)</f>
        <v>0</v>
      </c>
      <c r="O985" s="11">
        <f>IFERROR(H985/I985,0)</f>
        <v>0</v>
      </c>
      <c r="P985" s="11">
        <f>IFERROR((J985-H985)/H985,0)</f>
        <v>0</v>
      </c>
    </row>
    <row r="986" spans="1:16">
      <c r="A986">
        <v>776383</v>
      </c>
      <c r="B986" t="s">
        <v>161</v>
      </c>
      <c r="C986" t="s">
        <v>4</v>
      </c>
      <c r="D986" t="s">
        <v>5</v>
      </c>
      <c r="E986" s="14">
        <v>23</v>
      </c>
      <c r="F986" s="14">
        <v>1168</v>
      </c>
      <c r="G986" s="14">
        <v>0</v>
      </c>
      <c r="H986" s="13">
        <v>0</v>
      </c>
      <c r="I986" s="14">
        <v>0</v>
      </c>
      <c r="J986" s="11">
        <f>I986*85</f>
        <v>0</v>
      </c>
      <c r="K986" s="11">
        <f>J986-H986</f>
        <v>0</v>
      </c>
      <c r="L986" s="10">
        <f>G986/F986</f>
        <v>0</v>
      </c>
      <c r="M986" s="14">
        <f>IFERROR(ROUND(I986/G986,2),0)</f>
        <v>0</v>
      </c>
      <c r="N986" s="11">
        <f>IFERROR(H986/G986,0)</f>
        <v>0</v>
      </c>
      <c r="O986" s="11">
        <f>IFERROR(H986/I986,0)</f>
        <v>0</v>
      </c>
      <c r="P986" s="11">
        <f>IFERROR((J986-H986)/H986,0)</f>
        <v>0</v>
      </c>
    </row>
    <row r="987" spans="1:16">
      <c r="A987">
        <v>776430</v>
      </c>
      <c r="B987" t="s">
        <v>161</v>
      </c>
      <c r="C987" t="s">
        <v>0</v>
      </c>
      <c r="D987" t="s">
        <v>1</v>
      </c>
      <c r="E987" s="14">
        <v>10</v>
      </c>
      <c r="F987" s="14">
        <v>3200</v>
      </c>
      <c r="G987" s="14">
        <v>0</v>
      </c>
      <c r="H987" s="13">
        <v>0</v>
      </c>
      <c r="I987" s="14">
        <v>0</v>
      </c>
      <c r="J987" s="11">
        <f>I987*85</f>
        <v>0</v>
      </c>
      <c r="K987" s="11">
        <f>J987-H987</f>
        <v>0</v>
      </c>
      <c r="L987" s="10">
        <f>G987/F987</f>
        <v>0</v>
      </c>
      <c r="M987" s="14">
        <f>IFERROR(ROUND(I987/G987,2),0)</f>
        <v>0</v>
      </c>
      <c r="N987" s="11">
        <f>IFERROR(H987/G987,0)</f>
        <v>0</v>
      </c>
      <c r="O987" s="11">
        <f>IFERROR(H987/I987,0)</f>
        <v>0</v>
      </c>
      <c r="P987" s="11">
        <f>IFERROR((J987-H987)/H987,0)</f>
        <v>0</v>
      </c>
    </row>
    <row r="988" spans="1:16">
      <c r="A988">
        <v>776476</v>
      </c>
      <c r="B988" t="s">
        <v>161</v>
      </c>
      <c r="C988" t="s">
        <v>0</v>
      </c>
      <c r="D988" t="s">
        <v>1</v>
      </c>
      <c r="E988" s="14">
        <v>16</v>
      </c>
      <c r="F988" s="14">
        <v>43756</v>
      </c>
      <c r="G988" s="14">
        <v>5</v>
      </c>
      <c r="H988" s="13">
        <v>5.4399999379999997</v>
      </c>
      <c r="I988" s="14">
        <v>0</v>
      </c>
      <c r="J988" s="11">
        <f>I988*85</f>
        <v>0</v>
      </c>
      <c r="K988" s="11">
        <f>J988-H988</f>
        <v>-5.4399999379999997</v>
      </c>
      <c r="L988" s="10">
        <f>G988/F988</f>
        <v>1.1427004296553616E-4</v>
      </c>
      <c r="M988" s="14">
        <f>IFERROR(ROUND(I988/G988,2),0)</f>
        <v>0</v>
      </c>
      <c r="N988" s="11">
        <f>IFERROR(H988/G988,0)</f>
        <v>1.0879999875999999</v>
      </c>
      <c r="O988" s="11">
        <f>IFERROR(H988/I988,0)</f>
        <v>0</v>
      </c>
      <c r="P988" s="11">
        <f>IFERROR((J988-H988)/H988,0)</f>
        <v>-1</v>
      </c>
    </row>
    <row r="989" spans="1:16">
      <c r="A989">
        <v>776477</v>
      </c>
      <c r="B989" t="s">
        <v>161</v>
      </c>
      <c r="C989" t="s">
        <v>0</v>
      </c>
      <c r="D989" t="s">
        <v>1</v>
      </c>
      <c r="E989" s="14">
        <v>16</v>
      </c>
      <c r="F989" s="14">
        <v>9982</v>
      </c>
      <c r="G989" s="14">
        <v>0</v>
      </c>
      <c r="H989" s="13">
        <v>0</v>
      </c>
      <c r="I989" s="14">
        <v>0</v>
      </c>
      <c r="J989" s="11">
        <f>I989*85</f>
        <v>0</v>
      </c>
      <c r="K989" s="11">
        <f>J989-H989</f>
        <v>0</v>
      </c>
      <c r="L989" s="10">
        <f>G989/F989</f>
        <v>0</v>
      </c>
      <c r="M989" s="14">
        <f>IFERROR(ROUND(I989/G989,2),0)</f>
        <v>0</v>
      </c>
      <c r="N989" s="11">
        <f>IFERROR(H989/G989,0)</f>
        <v>0</v>
      </c>
      <c r="O989" s="11">
        <f>IFERROR(H989/I989,0)</f>
        <v>0</v>
      </c>
      <c r="P989" s="11">
        <f>IFERROR((J989-H989)/H989,0)</f>
        <v>0</v>
      </c>
    </row>
    <row r="990" spans="1:16">
      <c r="A990">
        <v>776494</v>
      </c>
      <c r="B990" t="s">
        <v>161</v>
      </c>
      <c r="C990" t="s">
        <v>0</v>
      </c>
      <c r="D990" t="s">
        <v>1</v>
      </c>
      <c r="E990" s="14">
        <v>15</v>
      </c>
      <c r="F990" s="14">
        <v>7015</v>
      </c>
      <c r="G990" s="14">
        <v>0</v>
      </c>
      <c r="H990" s="13">
        <v>0</v>
      </c>
      <c r="I990" s="14">
        <v>0</v>
      </c>
      <c r="J990" s="11">
        <f>I990*85</f>
        <v>0</v>
      </c>
      <c r="K990" s="11">
        <f>J990-H990</f>
        <v>0</v>
      </c>
      <c r="L990" s="10">
        <f>G990/F990</f>
        <v>0</v>
      </c>
      <c r="M990" s="14">
        <f>IFERROR(ROUND(I990/G990,2),0)</f>
        <v>0</v>
      </c>
      <c r="N990" s="11">
        <f>IFERROR(H990/G990,0)</f>
        <v>0</v>
      </c>
      <c r="O990" s="11">
        <f>IFERROR(H990/I990,0)</f>
        <v>0</v>
      </c>
      <c r="P990" s="11">
        <f>IFERROR((J990-H990)/H990,0)</f>
        <v>0</v>
      </c>
    </row>
    <row r="991" spans="1:16">
      <c r="A991">
        <v>776563</v>
      </c>
      <c r="B991" t="s">
        <v>161</v>
      </c>
      <c r="C991" t="s">
        <v>0</v>
      </c>
      <c r="D991" t="s">
        <v>5</v>
      </c>
      <c r="E991" s="14">
        <v>7</v>
      </c>
      <c r="F991" s="14">
        <v>1369</v>
      </c>
      <c r="G991" s="14">
        <v>0</v>
      </c>
      <c r="H991" s="13">
        <v>0</v>
      </c>
      <c r="I991" s="14">
        <v>0</v>
      </c>
      <c r="J991" s="11">
        <f>I991*85</f>
        <v>0</v>
      </c>
      <c r="K991" s="11">
        <f>J991-H991</f>
        <v>0</v>
      </c>
      <c r="L991" s="10">
        <f>G991/F991</f>
        <v>0</v>
      </c>
      <c r="M991" s="14">
        <f>IFERROR(ROUND(I991/G991,2),0)</f>
        <v>0</v>
      </c>
      <c r="N991" s="11">
        <f>IFERROR(H991/G991,0)</f>
        <v>0</v>
      </c>
      <c r="O991" s="11">
        <f>IFERROR(H991/I991,0)</f>
        <v>0</v>
      </c>
      <c r="P991" s="11">
        <f>IFERROR((J991-H991)/H991,0)</f>
        <v>0</v>
      </c>
    </row>
    <row r="992" spans="1:16">
      <c r="A992">
        <v>776603</v>
      </c>
      <c r="B992" t="s">
        <v>161</v>
      </c>
      <c r="C992" t="s">
        <v>0</v>
      </c>
      <c r="D992" t="s">
        <v>5</v>
      </c>
      <c r="E992" s="14">
        <v>2</v>
      </c>
      <c r="F992" s="14">
        <v>506</v>
      </c>
      <c r="G992" s="14">
        <v>0</v>
      </c>
      <c r="H992" s="13">
        <v>0</v>
      </c>
      <c r="I992" s="14">
        <v>0</v>
      </c>
      <c r="J992" s="11">
        <f>I992*85</f>
        <v>0</v>
      </c>
      <c r="K992" s="11">
        <f>J992-H992</f>
        <v>0</v>
      </c>
      <c r="L992" s="10">
        <f>G992/F992</f>
        <v>0</v>
      </c>
      <c r="M992" s="14">
        <f>IFERROR(ROUND(I992/G992,2),0)</f>
        <v>0</v>
      </c>
      <c r="N992" s="11">
        <f>IFERROR(H992/G992,0)</f>
        <v>0</v>
      </c>
      <c r="O992" s="11">
        <f>IFERROR(H992/I992,0)</f>
        <v>0</v>
      </c>
      <c r="P992" s="11">
        <f>IFERROR((J992-H992)/H992,0)</f>
        <v>0</v>
      </c>
    </row>
    <row r="993" spans="1:16">
      <c r="A993">
        <v>776659</v>
      </c>
      <c r="B993" t="s">
        <v>161</v>
      </c>
      <c r="C993" t="s">
        <v>0</v>
      </c>
      <c r="D993" t="s">
        <v>1</v>
      </c>
      <c r="E993" s="14">
        <v>16</v>
      </c>
      <c r="F993" s="14">
        <v>8817</v>
      </c>
      <c r="G993" s="14">
        <v>0</v>
      </c>
      <c r="H993" s="13">
        <v>0</v>
      </c>
      <c r="I993" s="14">
        <v>0</v>
      </c>
      <c r="J993" s="11">
        <f>I993*85</f>
        <v>0</v>
      </c>
      <c r="K993" s="11">
        <f>J993-H993</f>
        <v>0</v>
      </c>
      <c r="L993" s="10">
        <f>G993/F993</f>
        <v>0</v>
      </c>
      <c r="M993" s="14">
        <f>IFERROR(ROUND(I993/G993,2),0)</f>
        <v>0</v>
      </c>
      <c r="N993" s="11">
        <f>IFERROR(H993/G993,0)</f>
        <v>0</v>
      </c>
      <c r="O993" s="11">
        <f>IFERROR(H993/I993,0)</f>
        <v>0</v>
      </c>
      <c r="P993" s="11">
        <f>IFERROR((J993-H993)/H993,0)</f>
        <v>0</v>
      </c>
    </row>
    <row r="994" spans="1:16">
      <c r="A994">
        <v>776685</v>
      </c>
      <c r="B994" t="s">
        <v>161</v>
      </c>
      <c r="C994" t="s">
        <v>3</v>
      </c>
      <c r="D994" t="s">
        <v>1</v>
      </c>
      <c r="E994" s="14">
        <v>16</v>
      </c>
      <c r="F994" s="14">
        <v>7745</v>
      </c>
      <c r="G994" s="14">
        <v>0</v>
      </c>
      <c r="H994" s="13">
        <v>0</v>
      </c>
      <c r="I994" s="14">
        <v>0</v>
      </c>
      <c r="J994" s="11">
        <f>I994*85</f>
        <v>0</v>
      </c>
      <c r="K994" s="11">
        <f>J994-H994</f>
        <v>0</v>
      </c>
      <c r="L994" s="10">
        <f>G994/F994</f>
        <v>0</v>
      </c>
      <c r="M994" s="14">
        <f>IFERROR(ROUND(I994/G994,2),0)</f>
        <v>0</v>
      </c>
      <c r="N994" s="11">
        <f>IFERROR(H994/G994,0)</f>
        <v>0</v>
      </c>
      <c r="O994" s="11">
        <f>IFERROR(H994/I994,0)</f>
        <v>0</v>
      </c>
      <c r="P994" s="11">
        <f>IFERROR((J994-H994)/H994,0)</f>
        <v>0</v>
      </c>
    </row>
    <row r="995" spans="1:16">
      <c r="A995">
        <v>776687</v>
      </c>
      <c r="B995" t="s">
        <v>161</v>
      </c>
      <c r="C995" t="s">
        <v>3</v>
      </c>
      <c r="D995" t="s">
        <v>1</v>
      </c>
      <c r="E995" s="14">
        <v>16</v>
      </c>
      <c r="F995" s="14">
        <v>8022</v>
      </c>
      <c r="G995" s="14">
        <v>0</v>
      </c>
      <c r="H995" s="13">
        <v>0</v>
      </c>
      <c r="I995" s="14">
        <v>0</v>
      </c>
      <c r="J995" s="11">
        <f>I995*85</f>
        <v>0</v>
      </c>
      <c r="K995" s="11">
        <f>J995-H995</f>
        <v>0</v>
      </c>
      <c r="L995" s="10">
        <f>G995/F995</f>
        <v>0</v>
      </c>
      <c r="M995" s="14">
        <f>IFERROR(ROUND(I995/G995,2),0)</f>
        <v>0</v>
      </c>
      <c r="N995" s="11">
        <f>IFERROR(H995/G995,0)</f>
        <v>0</v>
      </c>
      <c r="O995" s="11">
        <f>IFERROR(H995/I995,0)</f>
        <v>0</v>
      </c>
      <c r="P995" s="11">
        <f>IFERROR((J995-H995)/H995,0)</f>
        <v>0</v>
      </c>
    </row>
    <row r="996" spans="1:16">
      <c r="A996">
        <v>776697</v>
      </c>
      <c r="B996" t="s">
        <v>161</v>
      </c>
      <c r="C996" t="s">
        <v>0</v>
      </c>
      <c r="D996" t="s">
        <v>1</v>
      </c>
      <c r="E996" s="14">
        <v>10</v>
      </c>
      <c r="F996" s="14">
        <v>4132</v>
      </c>
      <c r="G996" s="14">
        <v>0</v>
      </c>
      <c r="H996" s="13">
        <v>0</v>
      </c>
      <c r="I996" s="14">
        <v>0</v>
      </c>
      <c r="J996" s="11">
        <f>I996*85</f>
        <v>0</v>
      </c>
      <c r="K996" s="11">
        <f>J996-H996</f>
        <v>0</v>
      </c>
      <c r="L996" s="10">
        <f>G996/F996</f>
        <v>0</v>
      </c>
      <c r="M996" s="14">
        <f>IFERROR(ROUND(I996/G996,2),0)</f>
        <v>0</v>
      </c>
      <c r="N996" s="11">
        <f>IFERROR(H996/G996,0)</f>
        <v>0</v>
      </c>
      <c r="O996" s="11">
        <f>IFERROR(H996/I996,0)</f>
        <v>0</v>
      </c>
      <c r="P996" s="11">
        <f>IFERROR((J996-H996)/H996,0)</f>
        <v>0</v>
      </c>
    </row>
    <row r="997" spans="1:16">
      <c r="A997">
        <v>776722</v>
      </c>
      <c r="B997" t="s">
        <v>161</v>
      </c>
      <c r="C997" t="s">
        <v>0</v>
      </c>
      <c r="D997" t="s">
        <v>1</v>
      </c>
      <c r="E997" s="14">
        <v>2</v>
      </c>
      <c r="F997" s="14">
        <v>545</v>
      </c>
      <c r="G997" s="14">
        <v>0</v>
      </c>
      <c r="H997" s="13">
        <v>0</v>
      </c>
      <c r="I997" s="14">
        <v>0</v>
      </c>
      <c r="J997" s="11">
        <f>I997*85</f>
        <v>0</v>
      </c>
      <c r="K997" s="11">
        <f>J997-H997</f>
        <v>0</v>
      </c>
      <c r="L997" s="10">
        <f>G997/F997</f>
        <v>0</v>
      </c>
      <c r="M997" s="14">
        <f>IFERROR(ROUND(I997/G997,2),0)</f>
        <v>0</v>
      </c>
      <c r="N997" s="11">
        <f>IFERROR(H997/G997,0)</f>
        <v>0</v>
      </c>
      <c r="O997" s="11">
        <f>IFERROR(H997/I997,0)</f>
        <v>0</v>
      </c>
      <c r="P997" s="11">
        <f>IFERROR((J997-H997)/H997,0)</f>
        <v>0</v>
      </c>
    </row>
    <row r="998" spans="1:16">
      <c r="A998">
        <v>776793</v>
      </c>
      <c r="B998" t="s">
        <v>161</v>
      </c>
      <c r="C998" t="s">
        <v>4</v>
      </c>
      <c r="D998" t="s">
        <v>1</v>
      </c>
      <c r="E998" s="14">
        <v>21</v>
      </c>
      <c r="F998" s="14">
        <v>1609</v>
      </c>
      <c r="G998" s="14">
        <v>0</v>
      </c>
      <c r="H998" s="13">
        <v>0</v>
      </c>
      <c r="I998" s="14">
        <v>0</v>
      </c>
      <c r="J998" s="11">
        <f>I998*85</f>
        <v>0</v>
      </c>
      <c r="K998" s="11">
        <f>J998-H998</f>
        <v>0</v>
      </c>
      <c r="L998" s="10">
        <f>G998/F998</f>
        <v>0</v>
      </c>
      <c r="M998" s="14">
        <f>IFERROR(ROUND(I998/G998,2),0)</f>
        <v>0</v>
      </c>
      <c r="N998" s="11">
        <f>IFERROR(H998/G998,0)</f>
        <v>0</v>
      </c>
      <c r="O998" s="11">
        <f>IFERROR(H998/I998,0)</f>
        <v>0</v>
      </c>
      <c r="P998" s="11">
        <f>IFERROR((J998-H998)/H998,0)</f>
        <v>0</v>
      </c>
    </row>
    <row r="999" spans="1:16">
      <c r="A999">
        <v>776935</v>
      </c>
      <c r="B999" t="s">
        <v>161</v>
      </c>
      <c r="C999" t="s">
        <v>4</v>
      </c>
      <c r="D999" t="s">
        <v>1</v>
      </c>
      <c r="E999" s="14">
        <v>36</v>
      </c>
      <c r="F999" s="14">
        <v>1136</v>
      </c>
      <c r="G999" s="14">
        <v>0</v>
      </c>
      <c r="H999" s="13">
        <v>0</v>
      </c>
      <c r="I999" s="14">
        <v>0</v>
      </c>
      <c r="J999" s="11">
        <f>I999*85</f>
        <v>0</v>
      </c>
      <c r="K999" s="11">
        <f>J999-H999</f>
        <v>0</v>
      </c>
      <c r="L999" s="10">
        <f>G999/F999</f>
        <v>0</v>
      </c>
      <c r="M999" s="14">
        <f>IFERROR(ROUND(I999/G999,2),0)</f>
        <v>0</v>
      </c>
      <c r="N999" s="11">
        <f>IFERROR(H999/G999,0)</f>
        <v>0</v>
      </c>
      <c r="O999" s="11">
        <f>IFERROR(H999/I999,0)</f>
        <v>0</v>
      </c>
      <c r="P999" s="11">
        <f>IFERROR((J999-H999)/H999,0)</f>
        <v>0</v>
      </c>
    </row>
    <row r="1000" spans="1:16">
      <c r="A1000">
        <v>777130</v>
      </c>
      <c r="B1000" t="s">
        <v>161</v>
      </c>
      <c r="C1000" t="s">
        <v>2</v>
      </c>
      <c r="D1000" t="s">
        <v>1</v>
      </c>
      <c r="E1000" s="14">
        <v>16</v>
      </c>
      <c r="F1000" s="14">
        <v>6260</v>
      </c>
      <c r="G1000" s="14">
        <v>0</v>
      </c>
      <c r="H1000" s="13">
        <v>0</v>
      </c>
      <c r="I1000" s="14">
        <v>0</v>
      </c>
      <c r="J1000" s="11">
        <f>I1000*85</f>
        <v>0</v>
      </c>
      <c r="K1000" s="11">
        <f>J1000-H1000</f>
        <v>0</v>
      </c>
      <c r="L1000" s="10">
        <f>G1000/F1000</f>
        <v>0</v>
      </c>
      <c r="M1000" s="14">
        <f>IFERROR(ROUND(I1000/G1000,2),0)</f>
        <v>0</v>
      </c>
      <c r="N1000" s="11">
        <f>IFERROR(H1000/G1000,0)</f>
        <v>0</v>
      </c>
      <c r="O1000" s="11">
        <f>IFERROR(H1000/I1000,0)</f>
        <v>0</v>
      </c>
      <c r="P1000" s="11">
        <f>IFERROR((J1000-H1000)/H1000,0)</f>
        <v>0</v>
      </c>
    </row>
    <row r="1001" spans="1:16">
      <c r="A1001">
        <v>777131</v>
      </c>
      <c r="B1001" t="s">
        <v>161</v>
      </c>
      <c r="C1001" t="s">
        <v>2</v>
      </c>
      <c r="D1001" t="s">
        <v>1</v>
      </c>
      <c r="E1001" s="14">
        <v>16</v>
      </c>
      <c r="F1001" s="14">
        <v>6359</v>
      </c>
      <c r="G1001" s="14">
        <v>0</v>
      </c>
      <c r="H1001" s="13">
        <v>0</v>
      </c>
      <c r="I1001" s="14">
        <v>0</v>
      </c>
      <c r="J1001" s="11">
        <f>I1001*85</f>
        <v>0</v>
      </c>
      <c r="K1001" s="11">
        <f>J1001-H1001</f>
        <v>0</v>
      </c>
      <c r="L1001" s="10">
        <f>G1001/F1001</f>
        <v>0</v>
      </c>
      <c r="M1001" s="14">
        <f>IFERROR(ROUND(I1001/G1001,2),0)</f>
        <v>0</v>
      </c>
      <c r="N1001" s="11">
        <f>IFERROR(H1001/G1001,0)</f>
        <v>0</v>
      </c>
      <c r="O1001" s="11">
        <f>IFERROR(H1001/I1001,0)</f>
        <v>0</v>
      </c>
      <c r="P1001" s="11">
        <f>IFERROR((J1001-H1001)/H1001,0)</f>
        <v>0</v>
      </c>
    </row>
    <row r="1002" spans="1:16">
      <c r="A1002">
        <v>777166</v>
      </c>
      <c r="B1002" t="s">
        <v>161</v>
      </c>
      <c r="C1002" t="s">
        <v>0</v>
      </c>
      <c r="D1002" t="s">
        <v>1</v>
      </c>
      <c r="E1002" s="14">
        <v>63</v>
      </c>
      <c r="F1002" s="14">
        <v>2383</v>
      </c>
      <c r="G1002" s="14">
        <v>0</v>
      </c>
      <c r="H1002" s="13">
        <v>0</v>
      </c>
      <c r="I1002" s="14">
        <v>0</v>
      </c>
      <c r="J1002" s="11">
        <f>I1002*85</f>
        <v>0</v>
      </c>
      <c r="K1002" s="11">
        <f>J1002-H1002</f>
        <v>0</v>
      </c>
      <c r="L1002" s="10">
        <f>G1002/F1002</f>
        <v>0</v>
      </c>
      <c r="M1002" s="14">
        <f>IFERROR(ROUND(I1002/G1002,2),0)</f>
        <v>0</v>
      </c>
      <c r="N1002" s="11">
        <f>IFERROR(H1002/G1002,0)</f>
        <v>0</v>
      </c>
      <c r="O1002" s="11">
        <f>IFERROR(H1002/I1002,0)</f>
        <v>0</v>
      </c>
      <c r="P1002" s="11">
        <f>IFERROR((J1002-H1002)/H1002,0)</f>
        <v>0</v>
      </c>
    </row>
    <row r="1003" spans="1:16">
      <c r="A1003">
        <v>777200</v>
      </c>
      <c r="B1003" t="s">
        <v>161</v>
      </c>
      <c r="C1003" t="s">
        <v>0</v>
      </c>
      <c r="D1003" t="s">
        <v>1</v>
      </c>
      <c r="E1003" s="14">
        <v>64</v>
      </c>
      <c r="F1003" s="14">
        <v>1898</v>
      </c>
      <c r="G1003" s="14">
        <v>0</v>
      </c>
      <c r="H1003" s="13">
        <v>0</v>
      </c>
      <c r="I1003" s="14">
        <v>0</v>
      </c>
      <c r="J1003" s="11">
        <f>I1003*85</f>
        <v>0</v>
      </c>
      <c r="K1003" s="11">
        <f>J1003-H1003</f>
        <v>0</v>
      </c>
      <c r="L1003" s="10">
        <f>G1003/F1003</f>
        <v>0</v>
      </c>
      <c r="M1003" s="14">
        <f>IFERROR(ROUND(I1003/G1003,2),0)</f>
        <v>0</v>
      </c>
      <c r="N1003" s="11">
        <f>IFERROR(H1003/G1003,0)</f>
        <v>0</v>
      </c>
      <c r="O1003" s="11">
        <f>IFERROR(H1003/I1003,0)</f>
        <v>0</v>
      </c>
      <c r="P1003" s="11">
        <f>IFERROR((J1003-H1003)/H1003,0)</f>
        <v>0</v>
      </c>
    </row>
    <row r="1004" spans="1:16">
      <c r="A1004">
        <v>777201</v>
      </c>
      <c r="B1004" t="s">
        <v>161</v>
      </c>
      <c r="C1004" t="s">
        <v>0</v>
      </c>
      <c r="D1004" t="s">
        <v>1</v>
      </c>
      <c r="E1004" s="14">
        <v>64</v>
      </c>
      <c r="F1004" s="14">
        <v>1882</v>
      </c>
      <c r="G1004" s="14">
        <v>0</v>
      </c>
      <c r="H1004" s="13">
        <v>0</v>
      </c>
      <c r="I1004" s="14">
        <v>0</v>
      </c>
      <c r="J1004" s="11">
        <f>I1004*85</f>
        <v>0</v>
      </c>
      <c r="K1004" s="11">
        <f>J1004-H1004</f>
        <v>0</v>
      </c>
      <c r="L1004" s="10">
        <f>G1004/F1004</f>
        <v>0</v>
      </c>
      <c r="M1004" s="14">
        <f>IFERROR(ROUND(I1004/G1004,2),0)</f>
        <v>0</v>
      </c>
      <c r="N1004" s="11">
        <f>IFERROR(H1004/G1004,0)</f>
        <v>0</v>
      </c>
      <c r="O1004" s="11">
        <f>IFERROR(H1004/I1004,0)</f>
        <v>0</v>
      </c>
      <c r="P1004" s="11">
        <f>IFERROR((J1004-H1004)/H1004,0)</f>
        <v>0</v>
      </c>
    </row>
    <row r="1005" spans="1:16">
      <c r="A1005">
        <v>777482</v>
      </c>
      <c r="B1005" t="s">
        <v>161</v>
      </c>
      <c r="C1005" t="s">
        <v>4</v>
      </c>
      <c r="D1005" t="s">
        <v>1</v>
      </c>
      <c r="E1005" s="14">
        <v>28</v>
      </c>
      <c r="F1005" s="14">
        <v>2479</v>
      </c>
      <c r="G1005" s="14">
        <v>0</v>
      </c>
      <c r="H1005" s="13">
        <v>0</v>
      </c>
      <c r="I1005" s="14">
        <v>0</v>
      </c>
      <c r="J1005" s="11">
        <f>I1005*85</f>
        <v>0</v>
      </c>
      <c r="K1005" s="11">
        <f>J1005-H1005</f>
        <v>0</v>
      </c>
      <c r="L1005" s="10">
        <f>G1005/F1005</f>
        <v>0</v>
      </c>
      <c r="M1005" s="14">
        <f>IFERROR(ROUND(I1005/G1005,2),0)</f>
        <v>0</v>
      </c>
      <c r="N1005" s="11">
        <f>IFERROR(H1005/G1005,0)</f>
        <v>0</v>
      </c>
      <c r="O1005" s="11">
        <f>IFERROR(H1005/I1005,0)</f>
        <v>0</v>
      </c>
      <c r="P1005" s="11">
        <f>IFERROR((J1005-H1005)/H1005,0)</f>
        <v>0</v>
      </c>
    </row>
    <row r="1006" spans="1:16">
      <c r="A1006">
        <v>777638</v>
      </c>
      <c r="B1006" t="s">
        <v>161</v>
      </c>
      <c r="C1006" t="s">
        <v>3</v>
      </c>
      <c r="D1006" t="s">
        <v>1</v>
      </c>
      <c r="E1006" s="14">
        <v>7</v>
      </c>
      <c r="F1006" s="14">
        <v>1781</v>
      </c>
      <c r="G1006" s="14">
        <v>0</v>
      </c>
      <c r="H1006" s="13">
        <v>0</v>
      </c>
      <c r="I1006" s="14">
        <v>0</v>
      </c>
      <c r="J1006" s="11">
        <f>I1006*85</f>
        <v>0</v>
      </c>
      <c r="K1006" s="11">
        <f>J1006-H1006</f>
        <v>0</v>
      </c>
      <c r="L1006" s="10">
        <f>G1006/F1006</f>
        <v>0</v>
      </c>
      <c r="M1006" s="14">
        <f>IFERROR(ROUND(I1006/G1006,2),0)</f>
        <v>0</v>
      </c>
      <c r="N1006" s="11">
        <f>IFERROR(H1006/G1006,0)</f>
        <v>0</v>
      </c>
      <c r="O1006" s="11">
        <f>IFERROR(H1006/I1006,0)</f>
        <v>0</v>
      </c>
      <c r="P1006" s="11">
        <f>IFERROR((J1006-H1006)/H1006,0)</f>
        <v>0</v>
      </c>
    </row>
    <row r="1007" spans="1:16">
      <c r="A1007">
        <v>777673</v>
      </c>
      <c r="B1007" t="s">
        <v>161</v>
      </c>
      <c r="C1007" t="s">
        <v>3</v>
      </c>
      <c r="D1007" t="s">
        <v>1</v>
      </c>
      <c r="E1007" s="14">
        <v>16</v>
      </c>
      <c r="F1007" s="14">
        <v>7101</v>
      </c>
      <c r="G1007" s="14">
        <v>0</v>
      </c>
      <c r="H1007" s="13">
        <v>0</v>
      </c>
      <c r="I1007" s="14">
        <v>0</v>
      </c>
      <c r="J1007" s="11">
        <f>I1007*85</f>
        <v>0</v>
      </c>
      <c r="K1007" s="11">
        <f>J1007-H1007</f>
        <v>0</v>
      </c>
      <c r="L1007" s="10">
        <f>G1007/F1007</f>
        <v>0</v>
      </c>
      <c r="M1007" s="14">
        <f>IFERROR(ROUND(I1007/G1007,2),0)</f>
        <v>0</v>
      </c>
      <c r="N1007" s="11">
        <f>IFERROR(H1007/G1007,0)</f>
        <v>0</v>
      </c>
      <c r="O1007" s="11">
        <f>IFERROR(H1007/I1007,0)</f>
        <v>0</v>
      </c>
      <c r="P1007" s="11">
        <f>IFERROR((J1007-H1007)/H1007,0)</f>
        <v>0</v>
      </c>
    </row>
    <row r="1008" spans="1:16">
      <c r="A1008">
        <v>777816</v>
      </c>
      <c r="B1008" t="s">
        <v>161</v>
      </c>
      <c r="C1008" t="s">
        <v>3</v>
      </c>
      <c r="D1008" t="s">
        <v>1</v>
      </c>
      <c r="E1008" s="14">
        <v>2</v>
      </c>
      <c r="F1008" s="14">
        <v>500</v>
      </c>
      <c r="G1008" s="14">
        <v>0</v>
      </c>
      <c r="H1008" s="13">
        <v>0</v>
      </c>
      <c r="I1008" s="14">
        <v>0</v>
      </c>
      <c r="J1008" s="11">
        <f>I1008*85</f>
        <v>0</v>
      </c>
      <c r="K1008" s="11">
        <f>J1008-H1008</f>
        <v>0</v>
      </c>
      <c r="L1008" s="10">
        <f>G1008/F1008</f>
        <v>0</v>
      </c>
      <c r="M1008" s="14">
        <f>IFERROR(ROUND(I1008/G1008,2),0)</f>
        <v>0</v>
      </c>
      <c r="N1008" s="11">
        <f>IFERROR(H1008/G1008,0)</f>
        <v>0</v>
      </c>
      <c r="O1008" s="11">
        <f>IFERROR(H1008/I1008,0)</f>
        <v>0</v>
      </c>
      <c r="P1008" s="11">
        <f>IFERROR((J1008-H1008)/H1008,0)</f>
        <v>0</v>
      </c>
    </row>
    <row r="1009" spans="1:16">
      <c r="A1009">
        <v>777904</v>
      </c>
      <c r="B1009" t="s">
        <v>161</v>
      </c>
      <c r="C1009" t="s">
        <v>0</v>
      </c>
      <c r="D1009" t="s">
        <v>1</v>
      </c>
      <c r="E1009" s="14">
        <v>31</v>
      </c>
      <c r="F1009" s="14">
        <v>3279</v>
      </c>
      <c r="G1009" s="14">
        <v>0</v>
      </c>
      <c r="H1009" s="13">
        <v>0</v>
      </c>
      <c r="I1009" s="14">
        <v>0</v>
      </c>
      <c r="J1009" s="11">
        <f>I1009*85</f>
        <v>0</v>
      </c>
      <c r="K1009" s="11">
        <f>J1009-H1009</f>
        <v>0</v>
      </c>
      <c r="L1009" s="10">
        <f>G1009/F1009</f>
        <v>0</v>
      </c>
      <c r="M1009" s="14">
        <f>IFERROR(ROUND(I1009/G1009,2),0)</f>
        <v>0</v>
      </c>
      <c r="N1009" s="11">
        <f>IFERROR(H1009/G1009,0)</f>
        <v>0</v>
      </c>
      <c r="O1009" s="11">
        <f>IFERROR(H1009/I1009,0)</f>
        <v>0</v>
      </c>
      <c r="P1009" s="11">
        <f>IFERROR((J1009-H1009)/H1009,0)</f>
        <v>0</v>
      </c>
    </row>
    <row r="1010" spans="1:16">
      <c r="A1010">
        <v>777905</v>
      </c>
      <c r="B1010" t="s">
        <v>161</v>
      </c>
      <c r="C1010" t="s">
        <v>0</v>
      </c>
      <c r="D1010" t="s">
        <v>1</v>
      </c>
      <c r="E1010" s="14">
        <v>31</v>
      </c>
      <c r="F1010" s="14">
        <v>3288</v>
      </c>
      <c r="G1010" s="14">
        <v>0</v>
      </c>
      <c r="H1010" s="13">
        <v>0</v>
      </c>
      <c r="I1010" s="14">
        <v>0</v>
      </c>
      <c r="J1010" s="11">
        <f>I1010*85</f>
        <v>0</v>
      </c>
      <c r="K1010" s="11">
        <f>J1010-H1010</f>
        <v>0</v>
      </c>
      <c r="L1010" s="10">
        <f>G1010/F1010</f>
        <v>0</v>
      </c>
      <c r="M1010" s="14">
        <f>IFERROR(ROUND(I1010/G1010,2),0)</f>
        <v>0</v>
      </c>
      <c r="N1010" s="11">
        <f>IFERROR(H1010/G1010,0)</f>
        <v>0</v>
      </c>
      <c r="O1010" s="11">
        <f>IFERROR(H1010/I1010,0)</f>
        <v>0</v>
      </c>
      <c r="P1010" s="11">
        <f>IFERROR((J1010-H1010)/H1010,0)</f>
        <v>0</v>
      </c>
    </row>
    <row r="1011" spans="1:16">
      <c r="A1011">
        <v>778113</v>
      </c>
      <c r="B1011" t="s">
        <v>161</v>
      </c>
      <c r="C1011" t="s">
        <v>2</v>
      </c>
      <c r="D1011" t="s">
        <v>1</v>
      </c>
      <c r="E1011" s="14">
        <v>29</v>
      </c>
      <c r="F1011" s="14">
        <v>4595</v>
      </c>
      <c r="G1011" s="14">
        <v>0</v>
      </c>
      <c r="H1011" s="13">
        <v>0</v>
      </c>
      <c r="I1011" s="14">
        <v>0</v>
      </c>
      <c r="J1011" s="11">
        <f>I1011*85</f>
        <v>0</v>
      </c>
      <c r="K1011" s="11">
        <f>J1011-H1011</f>
        <v>0</v>
      </c>
      <c r="L1011" s="10">
        <f>G1011/F1011</f>
        <v>0</v>
      </c>
      <c r="M1011" s="14">
        <f>IFERROR(ROUND(I1011/G1011,2),0)</f>
        <v>0</v>
      </c>
      <c r="N1011" s="11">
        <f>IFERROR(H1011/G1011,0)</f>
        <v>0</v>
      </c>
      <c r="O1011" s="11">
        <f>IFERROR(H1011/I1011,0)</f>
        <v>0</v>
      </c>
      <c r="P1011" s="11">
        <f>IFERROR((J1011-H1011)/H1011,0)</f>
        <v>0</v>
      </c>
    </row>
    <row r="1012" spans="1:16">
      <c r="A1012">
        <v>778124</v>
      </c>
      <c r="B1012" t="s">
        <v>161</v>
      </c>
      <c r="C1012" t="s">
        <v>0</v>
      </c>
      <c r="D1012" t="s">
        <v>1</v>
      </c>
      <c r="E1012" s="14">
        <v>29</v>
      </c>
      <c r="F1012" s="14">
        <v>4871</v>
      </c>
      <c r="G1012" s="14">
        <v>0</v>
      </c>
      <c r="H1012" s="13">
        <v>0</v>
      </c>
      <c r="I1012" s="14">
        <v>0</v>
      </c>
      <c r="J1012" s="11">
        <f>I1012*85</f>
        <v>0</v>
      </c>
      <c r="K1012" s="11">
        <f>J1012-H1012</f>
        <v>0</v>
      </c>
      <c r="L1012" s="10">
        <f>G1012/F1012</f>
        <v>0</v>
      </c>
      <c r="M1012" s="14">
        <f>IFERROR(ROUND(I1012/G1012,2),0)</f>
        <v>0</v>
      </c>
      <c r="N1012" s="11">
        <f>IFERROR(H1012/G1012,0)</f>
        <v>0</v>
      </c>
      <c r="O1012" s="11">
        <f>IFERROR(H1012/I1012,0)</f>
        <v>0</v>
      </c>
      <c r="P1012" s="11">
        <f>IFERROR((J1012-H1012)/H1012,0)</f>
        <v>0</v>
      </c>
    </row>
    <row r="1013" spans="1:16">
      <c r="A1013">
        <v>778148</v>
      </c>
      <c r="B1013" t="s">
        <v>161</v>
      </c>
      <c r="C1013" t="s">
        <v>2</v>
      </c>
      <c r="D1013" t="s">
        <v>1</v>
      </c>
      <c r="E1013" s="14">
        <v>28</v>
      </c>
      <c r="F1013" s="14">
        <v>3199</v>
      </c>
      <c r="G1013" s="14">
        <v>0</v>
      </c>
      <c r="H1013" s="13">
        <v>0</v>
      </c>
      <c r="I1013" s="14">
        <v>0</v>
      </c>
      <c r="J1013" s="11">
        <f>I1013*85</f>
        <v>0</v>
      </c>
      <c r="K1013" s="11">
        <f>J1013-H1013</f>
        <v>0</v>
      </c>
      <c r="L1013" s="10">
        <f>G1013/F1013</f>
        <v>0</v>
      </c>
      <c r="M1013" s="14">
        <f>IFERROR(ROUND(I1013/G1013,2),0)</f>
        <v>0</v>
      </c>
      <c r="N1013" s="11">
        <f>IFERROR(H1013/G1013,0)</f>
        <v>0</v>
      </c>
      <c r="O1013" s="11">
        <f>IFERROR(H1013/I1013,0)</f>
        <v>0</v>
      </c>
      <c r="P1013" s="11">
        <f>IFERROR((J1013-H1013)/H1013,0)</f>
        <v>0</v>
      </c>
    </row>
    <row r="1014" spans="1:16">
      <c r="A1014">
        <v>778208</v>
      </c>
      <c r="B1014" t="s">
        <v>161</v>
      </c>
      <c r="C1014" t="s">
        <v>3</v>
      </c>
      <c r="D1014" t="s">
        <v>5</v>
      </c>
      <c r="E1014" s="14">
        <v>29</v>
      </c>
      <c r="F1014" s="14">
        <v>2755</v>
      </c>
      <c r="G1014" s="14">
        <v>0</v>
      </c>
      <c r="H1014" s="13">
        <v>0</v>
      </c>
      <c r="I1014" s="14">
        <v>0</v>
      </c>
      <c r="J1014" s="11">
        <f>I1014*85</f>
        <v>0</v>
      </c>
      <c r="K1014" s="11">
        <f>J1014-H1014</f>
        <v>0</v>
      </c>
      <c r="L1014" s="10">
        <f>G1014/F1014</f>
        <v>0</v>
      </c>
      <c r="M1014" s="14">
        <f>IFERROR(ROUND(I1014/G1014,2),0)</f>
        <v>0</v>
      </c>
      <c r="N1014" s="11">
        <f>IFERROR(H1014/G1014,0)</f>
        <v>0</v>
      </c>
      <c r="O1014" s="11">
        <f>IFERROR(H1014/I1014,0)</f>
        <v>0</v>
      </c>
      <c r="P1014" s="11">
        <f>IFERROR((J1014-H1014)/H1014,0)</f>
        <v>0</v>
      </c>
    </row>
    <row r="1015" spans="1:16">
      <c r="A1015">
        <v>778471</v>
      </c>
      <c r="B1015" t="s">
        <v>161</v>
      </c>
      <c r="C1015" t="s">
        <v>0</v>
      </c>
      <c r="D1015" t="s">
        <v>1</v>
      </c>
      <c r="E1015" s="14">
        <v>32</v>
      </c>
      <c r="F1015" s="14">
        <v>1273</v>
      </c>
      <c r="G1015" s="14">
        <v>0</v>
      </c>
      <c r="H1015" s="13">
        <v>0</v>
      </c>
      <c r="I1015" s="14">
        <v>0</v>
      </c>
      <c r="J1015" s="11">
        <f>I1015*85</f>
        <v>0</v>
      </c>
      <c r="K1015" s="11">
        <f>J1015-H1015</f>
        <v>0</v>
      </c>
      <c r="L1015" s="10">
        <f>G1015/F1015</f>
        <v>0</v>
      </c>
      <c r="M1015" s="14">
        <f>IFERROR(ROUND(I1015/G1015,2),0)</f>
        <v>0</v>
      </c>
      <c r="N1015" s="11">
        <f>IFERROR(H1015/G1015,0)</f>
        <v>0</v>
      </c>
      <c r="O1015" s="11">
        <f>IFERROR(H1015/I1015,0)</f>
        <v>0</v>
      </c>
      <c r="P1015" s="11">
        <f>IFERROR((J1015-H1015)/H1015,0)</f>
        <v>0</v>
      </c>
    </row>
    <row r="1016" spans="1:16">
      <c r="A1016">
        <v>778529</v>
      </c>
      <c r="B1016" t="s">
        <v>161</v>
      </c>
      <c r="C1016" t="s">
        <v>0</v>
      </c>
      <c r="D1016" t="s">
        <v>1</v>
      </c>
      <c r="E1016" s="14">
        <v>31</v>
      </c>
      <c r="F1016" s="14">
        <v>2214</v>
      </c>
      <c r="G1016" s="14">
        <v>0</v>
      </c>
      <c r="H1016" s="13">
        <v>0</v>
      </c>
      <c r="I1016" s="14">
        <v>0</v>
      </c>
      <c r="J1016" s="11">
        <f>I1016*85</f>
        <v>0</v>
      </c>
      <c r="K1016" s="11">
        <f>J1016-H1016</f>
        <v>0</v>
      </c>
      <c r="L1016" s="10">
        <f>G1016/F1016</f>
        <v>0</v>
      </c>
      <c r="M1016" s="14">
        <f>IFERROR(ROUND(I1016/G1016,2),0)</f>
        <v>0</v>
      </c>
      <c r="N1016" s="11">
        <f>IFERROR(H1016/G1016,0)</f>
        <v>0</v>
      </c>
      <c r="O1016" s="11">
        <f>IFERROR(H1016/I1016,0)</f>
        <v>0</v>
      </c>
      <c r="P1016" s="11">
        <f>IFERROR((J1016-H1016)/H1016,0)</f>
        <v>0</v>
      </c>
    </row>
    <row r="1017" spans="1:16">
      <c r="A1017">
        <v>778590</v>
      </c>
      <c r="B1017" t="s">
        <v>161</v>
      </c>
      <c r="C1017" t="s">
        <v>0</v>
      </c>
      <c r="D1017" t="s">
        <v>1</v>
      </c>
      <c r="E1017" s="14">
        <v>30</v>
      </c>
      <c r="F1017" s="14">
        <v>1371</v>
      </c>
      <c r="G1017" s="14">
        <v>0</v>
      </c>
      <c r="H1017" s="13">
        <v>0</v>
      </c>
      <c r="I1017" s="14">
        <v>0</v>
      </c>
      <c r="J1017" s="11">
        <f>I1017*85</f>
        <v>0</v>
      </c>
      <c r="K1017" s="11">
        <f>J1017-H1017</f>
        <v>0</v>
      </c>
      <c r="L1017" s="10">
        <f>G1017/F1017</f>
        <v>0</v>
      </c>
      <c r="M1017" s="14">
        <f>IFERROR(ROUND(I1017/G1017,2),0)</f>
        <v>0</v>
      </c>
      <c r="N1017" s="11">
        <f>IFERROR(H1017/G1017,0)</f>
        <v>0</v>
      </c>
      <c r="O1017" s="11">
        <f>IFERROR(H1017/I1017,0)</f>
        <v>0</v>
      </c>
      <c r="P1017" s="11">
        <f>IFERROR((J1017-H1017)/H1017,0)</f>
        <v>0</v>
      </c>
    </row>
    <row r="1018" spans="1:16">
      <c r="A1018">
        <v>778628</v>
      </c>
      <c r="B1018" t="s">
        <v>161</v>
      </c>
      <c r="C1018" t="s">
        <v>0</v>
      </c>
      <c r="D1018" t="s">
        <v>1</v>
      </c>
      <c r="E1018" s="14">
        <v>29</v>
      </c>
      <c r="F1018" s="14">
        <v>4608</v>
      </c>
      <c r="G1018" s="14">
        <v>0</v>
      </c>
      <c r="H1018" s="13">
        <v>0</v>
      </c>
      <c r="I1018" s="14">
        <v>0</v>
      </c>
      <c r="J1018" s="11">
        <f>I1018*85</f>
        <v>0</v>
      </c>
      <c r="K1018" s="11">
        <f>J1018-H1018</f>
        <v>0</v>
      </c>
      <c r="L1018" s="10">
        <f>G1018/F1018</f>
        <v>0</v>
      </c>
      <c r="M1018" s="14">
        <f>IFERROR(ROUND(I1018/G1018,2),0)</f>
        <v>0</v>
      </c>
      <c r="N1018" s="11">
        <f>IFERROR(H1018/G1018,0)</f>
        <v>0</v>
      </c>
      <c r="O1018" s="11">
        <f>IFERROR(H1018/I1018,0)</f>
        <v>0</v>
      </c>
      <c r="P1018" s="11">
        <f>IFERROR((J1018-H1018)/H1018,0)</f>
        <v>0</v>
      </c>
    </row>
    <row r="1019" spans="1:16">
      <c r="A1019">
        <v>778674</v>
      </c>
      <c r="B1019" t="s">
        <v>161</v>
      </c>
      <c r="C1019" t="s">
        <v>2</v>
      </c>
      <c r="D1019" t="s">
        <v>1</v>
      </c>
      <c r="E1019" s="14">
        <v>29</v>
      </c>
      <c r="F1019" s="14">
        <v>3732</v>
      </c>
      <c r="G1019" s="14">
        <v>0</v>
      </c>
      <c r="H1019" s="13">
        <v>0</v>
      </c>
      <c r="I1019" s="14">
        <v>0</v>
      </c>
      <c r="J1019" s="11">
        <f>I1019*85</f>
        <v>0</v>
      </c>
      <c r="K1019" s="11">
        <f>J1019-H1019</f>
        <v>0</v>
      </c>
      <c r="L1019" s="10">
        <f>G1019/F1019</f>
        <v>0</v>
      </c>
      <c r="M1019" s="14">
        <f>IFERROR(ROUND(I1019/G1019,2),0)</f>
        <v>0</v>
      </c>
      <c r="N1019" s="11">
        <f>IFERROR(H1019/G1019,0)</f>
        <v>0</v>
      </c>
      <c r="O1019" s="11">
        <f>IFERROR(H1019/I1019,0)</f>
        <v>0</v>
      </c>
      <c r="P1019" s="11">
        <f>IFERROR((J1019-H1019)/H1019,0)</f>
        <v>0</v>
      </c>
    </row>
    <row r="1020" spans="1:16">
      <c r="A1020">
        <v>778808</v>
      </c>
      <c r="B1020" t="s">
        <v>161</v>
      </c>
      <c r="C1020" t="s">
        <v>0</v>
      </c>
      <c r="D1020" t="s">
        <v>1</v>
      </c>
      <c r="E1020" s="14">
        <v>26</v>
      </c>
      <c r="F1020" s="14">
        <v>1738</v>
      </c>
      <c r="G1020" s="14">
        <v>0</v>
      </c>
      <c r="H1020" s="13">
        <v>0</v>
      </c>
      <c r="I1020" s="14">
        <v>0</v>
      </c>
      <c r="J1020" s="11">
        <f>I1020*85</f>
        <v>0</v>
      </c>
      <c r="K1020" s="11">
        <f>J1020-H1020</f>
        <v>0</v>
      </c>
      <c r="L1020" s="10">
        <f>G1020/F1020</f>
        <v>0</v>
      </c>
      <c r="M1020" s="14">
        <f>IFERROR(ROUND(I1020/G1020,2),0)</f>
        <v>0</v>
      </c>
      <c r="N1020" s="11">
        <f>IFERROR(H1020/G1020,0)</f>
        <v>0</v>
      </c>
      <c r="O1020" s="11">
        <f>IFERROR(H1020/I1020,0)</f>
        <v>0</v>
      </c>
      <c r="P1020" s="11">
        <f>IFERROR((J1020-H1020)/H1020,0)</f>
        <v>0</v>
      </c>
    </row>
    <row r="1021" spans="1:16">
      <c r="A1021">
        <v>779057</v>
      </c>
      <c r="B1021" t="s">
        <v>161</v>
      </c>
      <c r="C1021" t="s">
        <v>3</v>
      </c>
      <c r="D1021" t="s">
        <v>1</v>
      </c>
      <c r="E1021" s="14">
        <v>15</v>
      </c>
      <c r="F1021" s="14">
        <v>4414</v>
      </c>
      <c r="G1021" s="14">
        <v>0</v>
      </c>
      <c r="H1021" s="13">
        <v>0</v>
      </c>
      <c r="I1021" s="14">
        <v>0</v>
      </c>
      <c r="J1021" s="11">
        <f>I1021*85</f>
        <v>0</v>
      </c>
      <c r="K1021" s="11">
        <f>J1021-H1021</f>
        <v>0</v>
      </c>
      <c r="L1021" s="10">
        <f>G1021/F1021</f>
        <v>0</v>
      </c>
      <c r="M1021" s="14">
        <f>IFERROR(ROUND(I1021/G1021,2),0)</f>
        <v>0</v>
      </c>
      <c r="N1021" s="11">
        <f>IFERROR(H1021/G1021,0)</f>
        <v>0</v>
      </c>
      <c r="O1021" s="11">
        <f>IFERROR(H1021/I1021,0)</f>
        <v>0</v>
      </c>
      <c r="P1021" s="11">
        <f>IFERROR((J1021-H1021)/H1021,0)</f>
        <v>0</v>
      </c>
    </row>
    <row r="1022" spans="1:16">
      <c r="A1022">
        <v>779488</v>
      </c>
      <c r="B1022" t="s">
        <v>161</v>
      </c>
      <c r="C1022" t="s">
        <v>4</v>
      </c>
      <c r="D1022" t="s">
        <v>1</v>
      </c>
      <c r="E1022" s="14">
        <v>65</v>
      </c>
      <c r="F1022" s="14">
        <v>1006</v>
      </c>
      <c r="G1022" s="14">
        <v>0</v>
      </c>
      <c r="H1022" s="13">
        <v>0</v>
      </c>
      <c r="I1022" s="14">
        <v>0</v>
      </c>
      <c r="J1022" s="11">
        <f>I1022*85</f>
        <v>0</v>
      </c>
      <c r="K1022" s="11">
        <f>J1022-H1022</f>
        <v>0</v>
      </c>
      <c r="L1022" s="10">
        <f>G1022/F1022</f>
        <v>0</v>
      </c>
      <c r="M1022" s="14">
        <f>IFERROR(ROUND(I1022/G1022,2),0)</f>
        <v>0</v>
      </c>
      <c r="N1022" s="11">
        <f>IFERROR(H1022/G1022,0)</f>
        <v>0</v>
      </c>
      <c r="O1022" s="11">
        <f>IFERROR(H1022/I1022,0)</f>
        <v>0</v>
      </c>
      <c r="P1022" s="11">
        <f>IFERROR((J1022-H1022)/H1022,0)</f>
        <v>0</v>
      </c>
    </row>
    <row r="1023" spans="1:16">
      <c r="A1023">
        <v>779608</v>
      </c>
      <c r="B1023" t="s">
        <v>161</v>
      </c>
      <c r="C1023" t="s">
        <v>2</v>
      </c>
      <c r="D1023" t="s">
        <v>5</v>
      </c>
      <c r="E1023" s="14">
        <v>15</v>
      </c>
      <c r="F1023" s="14">
        <v>2459</v>
      </c>
      <c r="G1023" s="14">
        <v>0</v>
      </c>
      <c r="H1023" s="13">
        <v>0</v>
      </c>
      <c r="I1023" s="14">
        <v>0</v>
      </c>
      <c r="J1023" s="11">
        <f>I1023*85</f>
        <v>0</v>
      </c>
      <c r="K1023" s="11">
        <f>J1023-H1023</f>
        <v>0</v>
      </c>
      <c r="L1023" s="10">
        <f>G1023/F1023</f>
        <v>0</v>
      </c>
      <c r="M1023" s="14">
        <f>IFERROR(ROUND(I1023/G1023,2),0)</f>
        <v>0</v>
      </c>
      <c r="N1023" s="11">
        <f>IFERROR(H1023/G1023,0)</f>
        <v>0</v>
      </c>
      <c r="O1023" s="11">
        <f>IFERROR(H1023/I1023,0)</f>
        <v>0</v>
      </c>
      <c r="P1023" s="11">
        <f>IFERROR((J1023-H1023)/H1023,0)</f>
        <v>0</v>
      </c>
    </row>
    <row r="1024" spans="1:16">
      <c r="A1024">
        <v>779778</v>
      </c>
      <c r="B1024" t="s">
        <v>161</v>
      </c>
      <c r="C1024" t="s">
        <v>0</v>
      </c>
      <c r="D1024" t="s">
        <v>5</v>
      </c>
      <c r="E1024" s="14">
        <v>31</v>
      </c>
      <c r="F1024" s="14">
        <v>2466</v>
      </c>
      <c r="G1024" s="14">
        <v>0</v>
      </c>
      <c r="H1024" s="13">
        <v>0</v>
      </c>
      <c r="I1024" s="14">
        <v>0</v>
      </c>
      <c r="J1024" s="11">
        <f>I1024*85</f>
        <v>0</v>
      </c>
      <c r="K1024" s="11">
        <f>J1024-H1024</f>
        <v>0</v>
      </c>
      <c r="L1024" s="10">
        <f>G1024/F1024</f>
        <v>0</v>
      </c>
      <c r="M1024" s="14">
        <f>IFERROR(ROUND(I1024/G1024,2),0)</f>
        <v>0</v>
      </c>
      <c r="N1024" s="11">
        <f>IFERROR(H1024/G1024,0)</f>
        <v>0</v>
      </c>
      <c r="O1024" s="11">
        <f>IFERROR(H1024/I1024,0)</f>
        <v>0</v>
      </c>
      <c r="P1024" s="11">
        <f>IFERROR((J1024-H1024)/H1024,0)</f>
        <v>0</v>
      </c>
    </row>
    <row r="1025" spans="1:16">
      <c r="A1025">
        <v>779944</v>
      </c>
      <c r="B1025" t="s">
        <v>161</v>
      </c>
      <c r="C1025" t="s">
        <v>2</v>
      </c>
      <c r="D1025" t="s">
        <v>1</v>
      </c>
      <c r="E1025" s="14">
        <v>10</v>
      </c>
      <c r="F1025" s="14">
        <v>2549</v>
      </c>
      <c r="G1025" s="14">
        <v>0</v>
      </c>
      <c r="H1025" s="13">
        <v>0</v>
      </c>
      <c r="I1025" s="14">
        <v>0</v>
      </c>
      <c r="J1025" s="11">
        <f>I1025*85</f>
        <v>0</v>
      </c>
      <c r="K1025" s="11">
        <f>J1025-H1025</f>
        <v>0</v>
      </c>
      <c r="L1025" s="10">
        <f>G1025/F1025</f>
        <v>0</v>
      </c>
      <c r="M1025" s="14">
        <f>IFERROR(ROUND(I1025/G1025,2),0)</f>
        <v>0</v>
      </c>
      <c r="N1025" s="11">
        <f>IFERROR(H1025/G1025,0)</f>
        <v>0</v>
      </c>
      <c r="O1025" s="11">
        <f>IFERROR(H1025/I1025,0)</f>
        <v>0</v>
      </c>
      <c r="P1025" s="11">
        <f>IFERROR((J1025-H1025)/H1025,0)</f>
        <v>0</v>
      </c>
    </row>
    <row r="1026" spans="1:16">
      <c r="A1026">
        <v>779995</v>
      </c>
      <c r="B1026" t="s">
        <v>161</v>
      </c>
      <c r="C1026" t="s">
        <v>0</v>
      </c>
      <c r="D1026" t="s">
        <v>5</v>
      </c>
      <c r="E1026" s="14">
        <v>20</v>
      </c>
      <c r="F1026" s="14">
        <v>1961</v>
      </c>
      <c r="G1026" s="14">
        <v>0</v>
      </c>
      <c r="H1026" s="13">
        <v>0</v>
      </c>
      <c r="I1026" s="14">
        <v>0</v>
      </c>
      <c r="J1026" s="11">
        <f>I1026*85</f>
        <v>0</v>
      </c>
      <c r="K1026" s="11">
        <f>J1026-H1026</f>
        <v>0</v>
      </c>
      <c r="L1026" s="10">
        <f>G1026/F1026</f>
        <v>0</v>
      </c>
      <c r="M1026" s="14">
        <f>IFERROR(ROUND(I1026/G1026,2),0)</f>
        <v>0</v>
      </c>
      <c r="N1026" s="11">
        <f>IFERROR(H1026/G1026,0)</f>
        <v>0</v>
      </c>
      <c r="O1026" s="11">
        <f>IFERROR(H1026/I1026,0)</f>
        <v>0</v>
      </c>
      <c r="P1026" s="11">
        <f>IFERROR((J1026-H1026)/H1026,0)</f>
        <v>0</v>
      </c>
    </row>
    <row r="1027" spans="1:16">
      <c r="A1027">
        <v>780064</v>
      </c>
      <c r="B1027" t="s">
        <v>161</v>
      </c>
      <c r="C1027" t="s">
        <v>0</v>
      </c>
      <c r="D1027" t="s">
        <v>5</v>
      </c>
      <c r="E1027" s="14">
        <v>22</v>
      </c>
      <c r="F1027" s="14">
        <v>2554</v>
      </c>
      <c r="G1027" s="14">
        <v>0</v>
      </c>
      <c r="H1027" s="13">
        <v>0</v>
      </c>
      <c r="I1027" s="14">
        <v>0</v>
      </c>
      <c r="J1027" s="11">
        <f>I1027*85</f>
        <v>0</v>
      </c>
      <c r="K1027" s="11">
        <f>J1027-H1027</f>
        <v>0</v>
      </c>
      <c r="L1027" s="10">
        <f>G1027/F1027</f>
        <v>0</v>
      </c>
      <c r="M1027" s="14">
        <f>IFERROR(ROUND(I1027/G1027,2),0)</f>
        <v>0</v>
      </c>
      <c r="N1027" s="11">
        <f>IFERROR(H1027/G1027,0)</f>
        <v>0</v>
      </c>
      <c r="O1027" s="11">
        <f>IFERROR(H1027/I1027,0)</f>
        <v>0</v>
      </c>
      <c r="P1027" s="11">
        <f>IFERROR((J1027-H1027)/H1027,0)</f>
        <v>0</v>
      </c>
    </row>
    <row r="1028" spans="1:16">
      <c r="A1028">
        <v>780199</v>
      </c>
      <c r="B1028" t="s">
        <v>161</v>
      </c>
      <c r="C1028" t="s">
        <v>2</v>
      </c>
      <c r="D1028" t="s">
        <v>5</v>
      </c>
      <c r="E1028" s="14">
        <v>23</v>
      </c>
      <c r="F1028" s="14">
        <v>1030</v>
      </c>
      <c r="G1028" s="14">
        <v>0</v>
      </c>
      <c r="H1028" s="13">
        <v>0</v>
      </c>
      <c r="I1028" s="14">
        <v>0</v>
      </c>
      <c r="J1028" s="11">
        <f>I1028*85</f>
        <v>0</v>
      </c>
      <c r="K1028" s="11">
        <f>J1028-H1028</f>
        <v>0</v>
      </c>
      <c r="L1028" s="10">
        <f>G1028/F1028</f>
        <v>0</v>
      </c>
      <c r="M1028" s="14">
        <f>IFERROR(ROUND(I1028/G1028,2),0)</f>
        <v>0</v>
      </c>
      <c r="N1028" s="11">
        <f>IFERROR(H1028/G1028,0)</f>
        <v>0</v>
      </c>
      <c r="O1028" s="11">
        <f>IFERROR(H1028/I1028,0)</f>
        <v>0</v>
      </c>
      <c r="P1028" s="11">
        <f>IFERROR((J1028-H1028)/H1028,0)</f>
        <v>0</v>
      </c>
    </row>
    <row r="1029" spans="1:16">
      <c r="A1029">
        <v>780486</v>
      </c>
      <c r="B1029" t="s">
        <v>161</v>
      </c>
      <c r="C1029" t="s">
        <v>0</v>
      </c>
      <c r="D1029" t="s">
        <v>5</v>
      </c>
      <c r="E1029" s="14">
        <v>65</v>
      </c>
      <c r="F1029" s="14">
        <v>2879</v>
      </c>
      <c r="G1029" s="14">
        <v>0</v>
      </c>
      <c r="H1029" s="13">
        <v>0</v>
      </c>
      <c r="I1029" s="14">
        <v>0</v>
      </c>
      <c r="J1029" s="11">
        <f>I1029*85</f>
        <v>0</v>
      </c>
      <c r="K1029" s="11">
        <f>J1029-H1029</f>
        <v>0</v>
      </c>
      <c r="L1029" s="10">
        <f>G1029/F1029</f>
        <v>0</v>
      </c>
      <c r="M1029" s="14">
        <f>IFERROR(ROUND(I1029/G1029,2),0)</f>
        <v>0</v>
      </c>
      <c r="N1029" s="11">
        <f>IFERROR(H1029/G1029,0)</f>
        <v>0</v>
      </c>
      <c r="O1029" s="11">
        <f>IFERROR(H1029/I1029,0)</f>
        <v>0</v>
      </c>
      <c r="P1029" s="11">
        <f>IFERROR((J1029-H1029)/H1029,0)</f>
        <v>0</v>
      </c>
    </row>
    <row r="1030" spans="1:16">
      <c r="A1030">
        <v>780629</v>
      </c>
      <c r="B1030" t="s">
        <v>161</v>
      </c>
      <c r="C1030" t="s">
        <v>0</v>
      </c>
      <c r="D1030" t="s">
        <v>5</v>
      </c>
      <c r="E1030" s="14">
        <v>28</v>
      </c>
      <c r="F1030" s="14">
        <v>2963</v>
      </c>
      <c r="G1030" s="14">
        <v>0</v>
      </c>
      <c r="H1030" s="13">
        <v>0</v>
      </c>
      <c r="I1030" s="14">
        <v>0</v>
      </c>
      <c r="J1030" s="11">
        <f>I1030*85</f>
        <v>0</v>
      </c>
      <c r="K1030" s="11">
        <f>J1030-H1030</f>
        <v>0</v>
      </c>
      <c r="L1030" s="10">
        <f>G1030/F1030</f>
        <v>0</v>
      </c>
      <c r="M1030" s="14">
        <f>IFERROR(ROUND(I1030/G1030,2),0)</f>
        <v>0</v>
      </c>
      <c r="N1030" s="11">
        <f>IFERROR(H1030/G1030,0)</f>
        <v>0</v>
      </c>
      <c r="O1030" s="11">
        <f>IFERROR(H1030/I1030,0)</f>
        <v>0</v>
      </c>
      <c r="P1030" s="11">
        <f>IFERROR((J1030-H1030)/H1030,0)</f>
        <v>0</v>
      </c>
    </row>
    <row r="1031" spans="1:16">
      <c r="A1031">
        <v>780666</v>
      </c>
      <c r="B1031" t="s">
        <v>161</v>
      </c>
      <c r="C1031" t="s">
        <v>4</v>
      </c>
      <c r="D1031" t="s">
        <v>5</v>
      </c>
      <c r="E1031" s="14">
        <v>10</v>
      </c>
      <c r="F1031" s="14">
        <v>3462</v>
      </c>
      <c r="G1031" s="14">
        <v>0</v>
      </c>
      <c r="H1031" s="13">
        <v>0</v>
      </c>
      <c r="I1031" s="14">
        <v>0</v>
      </c>
      <c r="J1031" s="11">
        <f>I1031*85</f>
        <v>0</v>
      </c>
      <c r="K1031" s="11">
        <f>J1031-H1031</f>
        <v>0</v>
      </c>
      <c r="L1031" s="10">
        <f>G1031/F1031</f>
        <v>0</v>
      </c>
      <c r="M1031" s="14">
        <f>IFERROR(ROUND(I1031/G1031,2),0)</f>
        <v>0</v>
      </c>
      <c r="N1031" s="11">
        <f>IFERROR(H1031/G1031,0)</f>
        <v>0</v>
      </c>
      <c r="O1031" s="11">
        <f>IFERROR(H1031/I1031,0)</f>
        <v>0</v>
      </c>
      <c r="P1031" s="11">
        <f>IFERROR((J1031-H1031)/H1031,0)</f>
        <v>0</v>
      </c>
    </row>
    <row r="1032" spans="1:16">
      <c r="A1032">
        <v>780681</v>
      </c>
      <c r="B1032" t="s">
        <v>161</v>
      </c>
      <c r="C1032" t="s">
        <v>0</v>
      </c>
      <c r="D1032" t="s">
        <v>5</v>
      </c>
      <c r="E1032" s="14">
        <v>26</v>
      </c>
      <c r="F1032" s="14">
        <v>4073</v>
      </c>
      <c r="G1032" s="14">
        <v>0</v>
      </c>
      <c r="H1032" s="13">
        <v>0</v>
      </c>
      <c r="I1032" s="14">
        <v>0</v>
      </c>
      <c r="J1032" s="11">
        <f>I1032*85</f>
        <v>0</v>
      </c>
      <c r="K1032" s="11">
        <f>J1032-H1032</f>
        <v>0</v>
      </c>
      <c r="L1032" s="10">
        <f>G1032/F1032</f>
        <v>0</v>
      </c>
      <c r="M1032" s="14">
        <f>IFERROR(ROUND(I1032/G1032,2),0)</f>
        <v>0</v>
      </c>
      <c r="N1032" s="11">
        <f>IFERROR(H1032/G1032,0)</f>
        <v>0</v>
      </c>
      <c r="O1032" s="11">
        <f>IFERROR(H1032/I1032,0)</f>
        <v>0</v>
      </c>
      <c r="P1032" s="11">
        <f>IFERROR((J1032-H1032)/H1032,0)</f>
        <v>0</v>
      </c>
    </row>
    <row r="1033" spans="1:16">
      <c r="A1033">
        <v>780700</v>
      </c>
      <c r="B1033" t="s">
        <v>161</v>
      </c>
      <c r="C1033" t="s">
        <v>0</v>
      </c>
      <c r="D1033" t="s">
        <v>5</v>
      </c>
      <c r="E1033" s="14">
        <v>27</v>
      </c>
      <c r="F1033" s="14">
        <v>3745</v>
      </c>
      <c r="G1033" s="14">
        <v>0</v>
      </c>
      <c r="H1033" s="13">
        <v>0</v>
      </c>
      <c r="I1033" s="14">
        <v>0</v>
      </c>
      <c r="J1033" s="11">
        <f>I1033*85</f>
        <v>0</v>
      </c>
      <c r="K1033" s="11">
        <f>J1033-H1033</f>
        <v>0</v>
      </c>
      <c r="L1033" s="10">
        <f>G1033/F1033</f>
        <v>0</v>
      </c>
      <c r="M1033" s="14">
        <f>IFERROR(ROUND(I1033/G1033,2),0)</f>
        <v>0</v>
      </c>
      <c r="N1033" s="11">
        <f>IFERROR(H1033/G1033,0)</f>
        <v>0</v>
      </c>
      <c r="O1033" s="11">
        <f>IFERROR(H1033/I1033,0)</f>
        <v>0</v>
      </c>
      <c r="P1033" s="11">
        <f>IFERROR((J1033-H1033)/H1033,0)</f>
        <v>0</v>
      </c>
    </row>
    <row r="1034" spans="1:16">
      <c r="A1034">
        <v>780748</v>
      </c>
      <c r="B1034" t="s">
        <v>161</v>
      </c>
      <c r="C1034" t="s">
        <v>0</v>
      </c>
      <c r="D1034" t="s">
        <v>5</v>
      </c>
      <c r="E1034" s="14">
        <v>24</v>
      </c>
      <c r="F1034" s="14">
        <v>830</v>
      </c>
      <c r="G1034" s="14">
        <v>0</v>
      </c>
      <c r="H1034" s="13">
        <v>0</v>
      </c>
      <c r="I1034" s="14">
        <v>0</v>
      </c>
      <c r="J1034" s="11">
        <f>I1034*85</f>
        <v>0</v>
      </c>
      <c r="K1034" s="11">
        <f>J1034-H1034</f>
        <v>0</v>
      </c>
      <c r="L1034" s="10">
        <f>G1034/F1034</f>
        <v>0</v>
      </c>
      <c r="M1034" s="14">
        <f>IFERROR(ROUND(I1034/G1034,2),0)</f>
        <v>0</v>
      </c>
      <c r="N1034" s="11">
        <f>IFERROR(H1034/G1034,0)</f>
        <v>0</v>
      </c>
      <c r="O1034" s="11">
        <f>IFERROR(H1034/I1034,0)</f>
        <v>0</v>
      </c>
      <c r="P1034" s="11">
        <f>IFERROR((J1034-H1034)/H1034,0)</f>
        <v>0</v>
      </c>
    </row>
    <row r="1035" spans="1:16">
      <c r="A1035">
        <v>780759</v>
      </c>
      <c r="B1035" t="s">
        <v>161</v>
      </c>
      <c r="C1035" t="s">
        <v>4</v>
      </c>
      <c r="D1035" t="s">
        <v>5</v>
      </c>
      <c r="E1035" s="14">
        <v>18</v>
      </c>
      <c r="F1035" s="14">
        <v>2912</v>
      </c>
      <c r="G1035" s="14">
        <v>0</v>
      </c>
      <c r="H1035" s="13">
        <v>0</v>
      </c>
      <c r="I1035" s="14">
        <v>0</v>
      </c>
      <c r="J1035" s="11">
        <f>I1035*85</f>
        <v>0</v>
      </c>
      <c r="K1035" s="11">
        <f>J1035-H1035</f>
        <v>0</v>
      </c>
      <c r="L1035" s="10">
        <f>G1035/F1035</f>
        <v>0</v>
      </c>
      <c r="M1035" s="14">
        <f>IFERROR(ROUND(I1035/G1035,2),0)</f>
        <v>0</v>
      </c>
      <c r="N1035" s="11">
        <f>IFERROR(H1035/G1035,0)</f>
        <v>0</v>
      </c>
      <c r="O1035" s="11">
        <f>IFERROR(H1035/I1035,0)</f>
        <v>0</v>
      </c>
      <c r="P1035" s="11">
        <f>IFERROR((J1035-H1035)/H1035,0)</f>
        <v>0</v>
      </c>
    </row>
    <row r="1036" spans="1:16">
      <c r="A1036">
        <v>781207</v>
      </c>
      <c r="B1036" t="s">
        <v>161</v>
      </c>
      <c r="C1036" t="s">
        <v>2</v>
      </c>
      <c r="D1036" t="s">
        <v>5</v>
      </c>
      <c r="E1036" s="14">
        <v>64</v>
      </c>
      <c r="F1036" s="14">
        <v>2755</v>
      </c>
      <c r="G1036" s="14">
        <v>0</v>
      </c>
      <c r="H1036" s="13">
        <v>0</v>
      </c>
      <c r="I1036" s="14">
        <v>0</v>
      </c>
      <c r="J1036" s="11">
        <f>I1036*85</f>
        <v>0</v>
      </c>
      <c r="K1036" s="11">
        <f>J1036-H1036</f>
        <v>0</v>
      </c>
      <c r="L1036" s="10">
        <f>G1036/F1036</f>
        <v>0</v>
      </c>
      <c r="M1036" s="14">
        <f>IFERROR(ROUND(I1036/G1036,2),0)</f>
        <v>0</v>
      </c>
      <c r="N1036" s="11">
        <f>IFERROR(H1036/G1036,0)</f>
        <v>0</v>
      </c>
      <c r="O1036" s="11">
        <f>IFERROR(H1036/I1036,0)</f>
        <v>0</v>
      </c>
      <c r="P1036" s="11">
        <f>IFERROR((J1036-H1036)/H1036,0)</f>
        <v>0</v>
      </c>
    </row>
    <row r="1037" spans="1:16">
      <c r="A1037">
        <v>781438</v>
      </c>
      <c r="B1037" t="s">
        <v>161</v>
      </c>
      <c r="C1037" t="s">
        <v>0</v>
      </c>
      <c r="D1037" t="s">
        <v>1</v>
      </c>
      <c r="E1037" s="14">
        <v>63</v>
      </c>
      <c r="F1037" s="14">
        <v>2086</v>
      </c>
      <c r="G1037" s="14">
        <v>0</v>
      </c>
      <c r="H1037" s="13">
        <v>0</v>
      </c>
      <c r="I1037" s="14">
        <v>0</v>
      </c>
      <c r="J1037" s="11">
        <f>I1037*85</f>
        <v>0</v>
      </c>
      <c r="K1037" s="11">
        <f>J1037-H1037</f>
        <v>0</v>
      </c>
      <c r="L1037" s="10">
        <f>G1037/F1037</f>
        <v>0</v>
      </c>
      <c r="M1037" s="14">
        <f>IFERROR(ROUND(I1037/G1037,2),0)</f>
        <v>0</v>
      </c>
      <c r="N1037" s="11">
        <f>IFERROR(H1037/G1037,0)</f>
        <v>0</v>
      </c>
      <c r="O1037" s="11">
        <f>IFERROR(H1037/I1037,0)</f>
        <v>0</v>
      </c>
      <c r="P1037" s="11">
        <f>IFERROR((J1037-H1037)/H1037,0)</f>
        <v>0</v>
      </c>
    </row>
    <row r="1038" spans="1:16">
      <c r="A1038">
        <v>781470</v>
      </c>
      <c r="B1038" t="s">
        <v>161</v>
      </c>
      <c r="C1038" t="s">
        <v>2</v>
      </c>
      <c r="D1038" t="s">
        <v>1</v>
      </c>
      <c r="E1038" s="14">
        <v>16</v>
      </c>
      <c r="F1038" s="14">
        <v>6016</v>
      </c>
      <c r="G1038" s="14">
        <v>0</v>
      </c>
      <c r="H1038" s="13">
        <v>0</v>
      </c>
      <c r="I1038" s="14">
        <v>0</v>
      </c>
      <c r="J1038" s="11">
        <f>I1038*85</f>
        <v>0</v>
      </c>
      <c r="K1038" s="11">
        <f>J1038-H1038</f>
        <v>0</v>
      </c>
      <c r="L1038" s="10">
        <f>G1038/F1038</f>
        <v>0</v>
      </c>
      <c r="M1038" s="14">
        <f>IFERROR(ROUND(I1038/G1038,2),0)</f>
        <v>0</v>
      </c>
      <c r="N1038" s="11">
        <f>IFERROR(H1038/G1038,0)</f>
        <v>0</v>
      </c>
      <c r="O1038" s="11">
        <f>IFERROR(H1038/I1038,0)</f>
        <v>0</v>
      </c>
      <c r="P1038" s="11">
        <f>IFERROR((J1038-H1038)/H1038,0)</f>
        <v>0</v>
      </c>
    </row>
    <row r="1039" spans="1:16">
      <c r="A1039">
        <v>781556</v>
      </c>
      <c r="B1039" t="s">
        <v>161</v>
      </c>
      <c r="C1039" t="s">
        <v>0</v>
      </c>
      <c r="D1039" t="s">
        <v>5</v>
      </c>
      <c r="E1039" s="14">
        <v>32</v>
      </c>
      <c r="F1039" s="14">
        <v>1772</v>
      </c>
      <c r="G1039" s="14">
        <v>0</v>
      </c>
      <c r="H1039" s="13">
        <v>0</v>
      </c>
      <c r="I1039" s="14">
        <v>0</v>
      </c>
      <c r="J1039" s="11">
        <f>I1039*85</f>
        <v>0</v>
      </c>
      <c r="K1039" s="11">
        <f>J1039-H1039</f>
        <v>0</v>
      </c>
      <c r="L1039" s="10">
        <f>G1039/F1039</f>
        <v>0</v>
      </c>
      <c r="M1039" s="14">
        <f>IFERROR(ROUND(I1039/G1039,2),0)</f>
        <v>0</v>
      </c>
      <c r="N1039" s="11">
        <f>IFERROR(H1039/G1039,0)</f>
        <v>0</v>
      </c>
      <c r="O1039" s="11">
        <f>IFERROR(H1039/I1039,0)</f>
        <v>0</v>
      </c>
      <c r="P1039" s="11">
        <f>IFERROR((J1039-H1039)/H1039,0)</f>
        <v>0</v>
      </c>
    </row>
    <row r="1040" spans="1:16">
      <c r="A1040">
        <v>781559</v>
      </c>
      <c r="B1040" t="s">
        <v>161</v>
      </c>
      <c r="C1040" t="s">
        <v>0</v>
      </c>
      <c r="D1040" t="s">
        <v>5</v>
      </c>
      <c r="E1040" s="14">
        <v>32</v>
      </c>
      <c r="F1040" s="14">
        <v>1783</v>
      </c>
      <c r="G1040" s="14">
        <v>0</v>
      </c>
      <c r="H1040" s="13">
        <v>0</v>
      </c>
      <c r="I1040" s="14">
        <v>0</v>
      </c>
      <c r="J1040" s="11">
        <f>I1040*85</f>
        <v>0</v>
      </c>
      <c r="K1040" s="11">
        <f>J1040-H1040</f>
        <v>0</v>
      </c>
      <c r="L1040" s="10">
        <f>G1040/F1040</f>
        <v>0</v>
      </c>
      <c r="M1040" s="14">
        <f>IFERROR(ROUND(I1040/G1040,2),0)</f>
        <v>0</v>
      </c>
      <c r="N1040" s="11">
        <f>IFERROR(H1040/G1040,0)</f>
        <v>0</v>
      </c>
      <c r="O1040" s="11">
        <f>IFERROR(H1040/I1040,0)</f>
        <v>0</v>
      </c>
      <c r="P1040" s="11">
        <f>IFERROR((J1040-H1040)/H1040,0)</f>
        <v>0</v>
      </c>
    </row>
    <row r="1041" spans="1:16">
      <c r="A1041">
        <v>781907</v>
      </c>
      <c r="B1041" t="s">
        <v>161</v>
      </c>
      <c r="C1041" t="s">
        <v>4</v>
      </c>
      <c r="D1041" t="s">
        <v>5</v>
      </c>
      <c r="E1041" s="14">
        <v>21</v>
      </c>
      <c r="F1041" s="14">
        <v>1314</v>
      </c>
      <c r="G1041" s="14">
        <v>0</v>
      </c>
      <c r="H1041" s="13">
        <v>0</v>
      </c>
      <c r="I1041" s="14">
        <v>0</v>
      </c>
      <c r="J1041" s="11">
        <f>I1041*85</f>
        <v>0</v>
      </c>
      <c r="K1041" s="11">
        <f>J1041-H1041</f>
        <v>0</v>
      </c>
      <c r="L1041" s="10">
        <f>G1041/F1041</f>
        <v>0</v>
      </c>
      <c r="M1041" s="14">
        <f>IFERROR(ROUND(I1041/G1041,2),0)</f>
        <v>0</v>
      </c>
      <c r="N1041" s="11">
        <f>IFERROR(H1041/G1041,0)</f>
        <v>0</v>
      </c>
      <c r="O1041" s="11">
        <f>IFERROR(H1041/I1041,0)</f>
        <v>0</v>
      </c>
      <c r="P1041" s="11">
        <f>IFERROR((J1041-H1041)/H1041,0)</f>
        <v>0</v>
      </c>
    </row>
    <row r="1042" spans="1:16">
      <c r="A1042">
        <v>781928</v>
      </c>
      <c r="B1042" t="s">
        <v>161</v>
      </c>
      <c r="C1042" t="s">
        <v>0</v>
      </c>
      <c r="D1042" t="s">
        <v>1</v>
      </c>
      <c r="E1042" s="14">
        <v>18</v>
      </c>
      <c r="F1042" s="14">
        <v>2916</v>
      </c>
      <c r="G1042" s="14">
        <v>0</v>
      </c>
      <c r="H1042" s="13">
        <v>0</v>
      </c>
      <c r="I1042" s="14">
        <v>0</v>
      </c>
      <c r="J1042" s="11">
        <f>I1042*85</f>
        <v>0</v>
      </c>
      <c r="K1042" s="11">
        <f>J1042-H1042</f>
        <v>0</v>
      </c>
      <c r="L1042" s="10">
        <f>G1042/F1042</f>
        <v>0</v>
      </c>
      <c r="M1042" s="14">
        <f>IFERROR(ROUND(I1042/G1042,2),0)</f>
        <v>0</v>
      </c>
      <c r="N1042" s="11">
        <f>IFERROR(H1042/G1042,0)</f>
        <v>0</v>
      </c>
      <c r="O1042" s="11">
        <f>IFERROR(H1042/I1042,0)</f>
        <v>0</v>
      </c>
      <c r="P1042" s="11">
        <f>IFERROR((J1042-H1042)/H1042,0)</f>
        <v>0</v>
      </c>
    </row>
    <row r="1043" spans="1:16">
      <c r="A1043">
        <v>781950</v>
      </c>
      <c r="B1043" t="s">
        <v>161</v>
      </c>
      <c r="C1043" t="s">
        <v>0</v>
      </c>
      <c r="D1043" t="s">
        <v>5</v>
      </c>
      <c r="E1043" s="14">
        <v>20</v>
      </c>
      <c r="F1043" s="14">
        <v>1984</v>
      </c>
      <c r="G1043" s="14">
        <v>0</v>
      </c>
      <c r="H1043" s="13">
        <v>0</v>
      </c>
      <c r="I1043" s="14">
        <v>0</v>
      </c>
      <c r="J1043" s="11">
        <f>I1043*85</f>
        <v>0</v>
      </c>
      <c r="K1043" s="11">
        <f>J1043-H1043</f>
        <v>0</v>
      </c>
      <c r="L1043" s="10">
        <f>G1043/F1043</f>
        <v>0</v>
      </c>
      <c r="M1043" s="14">
        <f>IFERROR(ROUND(I1043/G1043,2),0)</f>
        <v>0</v>
      </c>
      <c r="N1043" s="11">
        <f>IFERROR(H1043/G1043,0)</f>
        <v>0</v>
      </c>
      <c r="O1043" s="11">
        <f>IFERROR(H1043/I1043,0)</f>
        <v>0</v>
      </c>
      <c r="P1043" s="11">
        <f>IFERROR((J1043-H1043)/H1043,0)</f>
        <v>0</v>
      </c>
    </row>
    <row r="1044" spans="1:16">
      <c r="A1044">
        <v>782130</v>
      </c>
      <c r="B1044" t="s">
        <v>161</v>
      </c>
      <c r="C1044" t="s">
        <v>0</v>
      </c>
      <c r="D1044" t="s">
        <v>5</v>
      </c>
      <c r="E1044" s="14">
        <v>16</v>
      </c>
      <c r="F1044" s="14">
        <v>7301</v>
      </c>
      <c r="G1044" s="14">
        <v>0</v>
      </c>
      <c r="H1044" s="13">
        <v>0</v>
      </c>
      <c r="I1044" s="14">
        <v>0</v>
      </c>
      <c r="J1044" s="11">
        <f>I1044*85</f>
        <v>0</v>
      </c>
      <c r="K1044" s="11">
        <f>J1044-H1044</f>
        <v>0</v>
      </c>
      <c r="L1044" s="10">
        <f>G1044/F1044</f>
        <v>0</v>
      </c>
      <c r="M1044" s="14">
        <f>IFERROR(ROUND(I1044/G1044,2),0)</f>
        <v>0</v>
      </c>
      <c r="N1044" s="11">
        <f>IFERROR(H1044/G1044,0)</f>
        <v>0</v>
      </c>
      <c r="O1044" s="11">
        <f>IFERROR(H1044/I1044,0)</f>
        <v>0</v>
      </c>
      <c r="P1044" s="11">
        <f>IFERROR((J1044-H1044)/H1044,0)</f>
        <v>0</v>
      </c>
    </row>
    <row r="1045" spans="1:16">
      <c r="A1045">
        <v>782171</v>
      </c>
      <c r="B1045" t="s">
        <v>161</v>
      </c>
      <c r="C1045" t="s">
        <v>0</v>
      </c>
      <c r="D1045" t="s">
        <v>5</v>
      </c>
      <c r="E1045" s="14">
        <v>30</v>
      </c>
      <c r="F1045" s="14">
        <v>535</v>
      </c>
      <c r="G1045" s="14">
        <v>0</v>
      </c>
      <c r="H1045" s="13">
        <v>0</v>
      </c>
      <c r="I1045" s="14">
        <v>0</v>
      </c>
      <c r="J1045" s="11">
        <f>I1045*85</f>
        <v>0</v>
      </c>
      <c r="K1045" s="11">
        <f>J1045-H1045</f>
        <v>0</v>
      </c>
      <c r="L1045" s="10">
        <f>G1045/F1045</f>
        <v>0</v>
      </c>
      <c r="M1045" s="14">
        <f>IFERROR(ROUND(I1045/G1045,2),0)</f>
        <v>0</v>
      </c>
      <c r="N1045" s="11">
        <f>IFERROR(H1045/G1045,0)</f>
        <v>0</v>
      </c>
      <c r="O1045" s="11">
        <f>IFERROR(H1045/I1045,0)</f>
        <v>0</v>
      </c>
      <c r="P1045" s="11">
        <f>IFERROR((J1045-H1045)/H1045,0)</f>
        <v>0</v>
      </c>
    </row>
    <row r="1046" spans="1:16">
      <c r="A1046">
        <v>782180</v>
      </c>
      <c r="B1046" t="s">
        <v>161</v>
      </c>
      <c r="C1046" t="s">
        <v>0</v>
      </c>
      <c r="D1046" t="s">
        <v>1</v>
      </c>
      <c r="E1046" s="14">
        <v>29</v>
      </c>
      <c r="F1046" s="14">
        <v>3396</v>
      </c>
      <c r="G1046" s="14">
        <v>0</v>
      </c>
      <c r="H1046" s="13">
        <v>0</v>
      </c>
      <c r="I1046" s="14">
        <v>0</v>
      </c>
      <c r="J1046" s="11">
        <f>I1046*85</f>
        <v>0</v>
      </c>
      <c r="K1046" s="11">
        <f>J1046-H1046</f>
        <v>0</v>
      </c>
      <c r="L1046" s="10">
        <f>G1046/F1046</f>
        <v>0</v>
      </c>
      <c r="M1046" s="14">
        <f>IFERROR(ROUND(I1046/G1046,2),0)</f>
        <v>0</v>
      </c>
      <c r="N1046" s="11">
        <f>IFERROR(H1046/G1046,0)</f>
        <v>0</v>
      </c>
      <c r="O1046" s="11">
        <f>IFERROR(H1046/I1046,0)</f>
        <v>0</v>
      </c>
      <c r="P1046" s="11">
        <f>IFERROR((J1046-H1046)/H1046,0)</f>
        <v>0</v>
      </c>
    </row>
    <row r="1047" spans="1:16">
      <c r="A1047">
        <v>782219</v>
      </c>
      <c r="B1047" t="s">
        <v>161</v>
      </c>
      <c r="C1047" t="s">
        <v>0</v>
      </c>
      <c r="D1047" t="s">
        <v>1</v>
      </c>
      <c r="E1047" s="14">
        <v>26</v>
      </c>
      <c r="F1047" s="14">
        <v>977</v>
      </c>
      <c r="G1047" s="14">
        <v>0</v>
      </c>
      <c r="H1047" s="13">
        <v>0</v>
      </c>
      <c r="I1047" s="14">
        <v>0</v>
      </c>
      <c r="J1047" s="11">
        <f>I1047*85</f>
        <v>0</v>
      </c>
      <c r="K1047" s="11">
        <f>J1047-H1047</f>
        <v>0</v>
      </c>
      <c r="L1047" s="10">
        <f>G1047/F1047</f>
        <v>0</v>
      </c>
      <c r="M1047" s="14">
        <f>IFERROR(ROUND(I1047/G1047,2),0)</f>
        <v>0</v>
      </c>
      <c r="N1047" s="11">
        <f>IFERROR(H1047/G1047,0)</f>
        <v>0</v>
      </c>
      <c r="O1047" s="11">
        <f>IFERROR(H1047/I1047,0)</f>
        <v>0</v>
      </c>
      <c r="P1047" s="11">
        <f>IFERROR((J1047-H1047)/H1047,0)</f>
        <v>0</v>
      </c>
    </row>
    <row r="1048" spans="1:16">
      <c r="A1048">
        <v>782443</v>
      </c>
      <c r="B1048" t="s">
        <v>161</v>
      </c>
      <c r="C1048" t="s">
        <v>3</v>
      </c>
      <c r="D1048" t="s">
        <v>5</v>
      </c>
      <c r="E1048" s="14">
        <v>20</v>
      </c>
      <c r="F1048" s="14">
        <v>979</v>
      </c>
      <c r="G1048" s="14">
        <v>0</v>
      </c>
      <c r="H1048" s="13">
        <v>0</v>
      </c>
      <c r="I1048" s="14">
        <v>0</v>
      </c>
      <c r="J1048" s="11">
        <f>I1048*85</f>
        <v>0</v>
      </c>
      <c r="K1048" s="11">
        <f>J1048-H1048</f>
        <v>0</v>
      </c>
      <c r="L1048" s="10">
        <f>G1048/F1048</f>
        <v>0</v>
      </c>
      <c r="M1048" s="14">
        <f>IFERROR(ROUND(I1048/G1048,2),0)</f>
        <v>0</v>
      </c>
      <c r="N1048" s="11">
        <f>IFERROR(H1048/G1048,0)</f>
        <v>0</v>
      </c>
      <c r="O1048" s="11">
        <f>IFERROR(H1048/I1048,0)</f>
        <v>0</v>
      </c>
      <c r="P1048" s="11">
        <f>IFERROR((J1048-H1048)/H1048,0)</f>
        <v>0</v>
      </c>
    </row>
    <row r="1049" spans="1:16">
      <c r="A1049">
        <v>782587</v>
      </c>
      <c r="B1049" t="s">
        <v>161</v>
      </c>
      <c r="C1049" t="s">
        <v>0</v>
      </c>
      <c r="D1049" t="s">
        <v>1</v>
      </c>
      <c r="E1049" s="14">
        <v>10</v>
      </c>
      <c r="F1049" s="14">
        <v>2499</v>
      </c>
      <c r="G1049" s="14">
        <v>0</v>
      </c>
      <c r="H1049" s="13">
        <v>0</v>
      </c>
      <c r="I1049" s="14">
        <v>0</v>
      </c>
      <c r="J1049" s="11">
        <f>I1049*85</f>
        <v>0</v>
      </c>
      <c r="K1049" s="11">
        <f>J1049-H1049</f>
        <v>0</v>
      </c>
      <c r="L1049" s="10">
        <f>G1049/F1049</f>
        <v>0</v>
      </c>
      <c r="M1049" s="14">
        <f>IFERROR(ROUND(I1049/G1049,2),0)</f>
        <v>0</v>
      </c>
      <c r="N1049" s="11">
        <f>IFERROR(H1049/G1049,0)</f>
        <v>0</v>
      </c>
      <c r="O1049" s="11">
        <f>IFERROR(H1049/I1049,0)</f>
        <v>0</v>
      </c>
      <c r="P1049" s="11">
        <f>IFERROR((J1049-H1049)/H1049,0)</f>
        <v>0</v>
      </c>
    </row>
    <row r="1050" spans="1:16">
      <c r="A1050">
        <v>782658</v>
      </c>
      <c r="B1050" t="s">
        <v>161</v>
      </c>
      <c r="C1050" t="s">
        <v>0</v>
      </c>
      <c r="D1050" t="s">
        <v>1</v>
      </c>
      <c r="E1050" s="14">
        <v>15</v>
      </c>
      <c r="F1050" s="14">
        <v>4827</v>
      </c>
      <c r="G1050" s="14">
        <v>0</v>
      </c>
      <c r="H1050" s="13">
        <v>0</v>
      </c>
      <c r="I1050" s="14">
        <v>0</v>
      </c>
      <c r="J1050" s="11">
        <f>I1050*85</f>
        <v>0</v>
      </c>
      <c r="K1050" s="11">
        <f>J1050-H1050</f>
        <v>0</v>
      </c>
      <c r="L1050" s="10">
        <f>G1050/F1050</f>
        <v>0</v>
      </c>
      <c r="M1050" s="14">
        <f>IFERROR(ROUND(I1050/G1050,2),0)</f>
        <v>0</v>
      </c>
      <c r="N1050" s="11">
        <f>IFERROR(H1050/G1050,0)</f>
        <v>0</v>
      </c>
      <c r="O1050" s="11">
        <f>IFERROR(H1050/I1050,0)</f>
        <v>0</v>
      </c>
      <c r="P1050" s="11">
        <f>IFERROR((J1050-H1050)/H1050,0)</f>
        <v>0</v>
      </c>
    </row>
    <row r="1051" spans="1:16">
      <c r="A1051">
        <v>782706</v>
      </c>
      <c r="B1051" t="s">
        <v>161</v>
      </c>
      <c r="C1051" t="s">
        <v>2</v>
      </c>
      <c r="D1051" t="s">
        <v>5</v>
      </c>
      <c r="E1051" s="14">
        <v>30</v>
      </c>
      <c r="F1051" s="14">
        <v>761</v>
      </c>
      <c r="G1051" s="14">
        <v>0</v>
      </c>
      <c r="H1051" s="13">
        <v>0</v>
      </c>
      <c r="I1051" s="14">
        <v>0</v>
      </c>
      <c r="J1051" s="11">
        <f>I1051*85</f>
        <v>0</v>
      </c>
      <c r="K1051" s="11">
        <f>J1051-H1051</f>
        <v>0</v>
      </c>
      <c r="L1051" s="10">
        <f>G1051/F1051</f>
        <v>0</v>
      </c>
      <c r="M1051" s="14">
        <f>IFERROR(ROUND(I1051/G1051,2),0)</f>
        <v>0</v>
      </c>
      <c r="N1051" s="11">
        <f>IFERROR(H1051/G1051,0)</f>
        <v>0</v>
      </c>
      <c r="O1051" s="11">
        <f>IFERROR(H1051/I1051,0)</f>
        <v>0</v>
      </c>
      <c r="P1051" s="11">
        <f>IFERROR((J1051-H1051)/H1051,0)</f>
        <v>0</v>
      </c>
    </row>
    <row r="1052" spans="1:16">
      <c r="A1052">
        <v>950079</v>
      </c>
      <c r="B1052" t="s">
        <v>161</v>
      </c>
      <c r="C1052" t="s">
        <v>0</v>
      </c>
      <c r="D1052" t="s">
        <v>1</v>
      </c>
      <c r="E1052" s="14">
        <v>16</v>
      </c>
      <c r="F1052" s="14">
        <v>3142</v>
      </c>
      <c r="G1052" s="14">
        <v>0</v>
      </c>
      <c r="H1052" s="13">
        <v>0</v>
      </c>
      <c r="I1052" s="14">
        <v>0</v>
      </c>
      <c r="J1052" s="11">
        <f>I1052*85</f>
        <v>0</v>
      </c>
      <c r="K1052" s="11">
        <f>J1052-H1052</f>
        <v>0</v>
      </c>
      <c r="L1052" s="10">
        <f>G1052/F1052</f>
        <v>0</v>
      </c>
      <c r="M1052" s="14">
        <f>IFERROR(ROUND(I1052/G1052,2),0)</f>
        <v>0</v>
      </c>
      <c r="N1052" s="11">
        <f>IFERROR(H1052/G1052,0)</f>
        <v>0</v>
      </c>
      <c r="O1052" s="11">
        <f>IFERROR(H1052/I1052,0)</f>
        <v>0</v>
      </c>
      <c r="P1052" s="11">
        <f>IFERROR((J1052-H1052)/H1052,0)</f>
        <v>0</v>
      </c>
    </row>
    <row r="1053" spans="1:16">
      <c r="A1053">
        <v>950099</v>
      </c>
      <c r="B1053" t="s">
        <v>161</v>
      </c>
      <c r="C1053" t="s">
        <v>0</v>
      </c>
      <c r="D1053" t="s">
        <v>1</v>
      </c>
      <c r="E1053" s="14">
        <v>18</v>
      </c>
      <c r="F1053" s="14">
        <v>1120</v>
      </c>
      <c r="G1053" s="14">
        <v>0</v>
      </c>
      <c r="H1053" s="13">
        <v>0</v>
      </c>
      <c r="I1053" s="14">
        <v>0</v>
      </c>
      <c r="J1053" s="11">
        <f>I1053*85</f>
        <v>0</v>
      </c>
      <c r="K1053" s="11">
        <f>J1053-H1053</f>
        <v>0</v>
      </c>
      <c r="L1053" s="10">
        <f>G1053/F1053</f>
        <v>0</v>
      </c>
      <c r="M1053" s="14">
        <f>IFERROR(ROUND(I1053/G1053,2),0)</f>
        <v>0</v>
      </c>
      <c r="N1053" s="11">
        <f>IFERROR(H1053/G1053,0)</f>
        <v>0</v>
      </c>
      <c r="O1053" s="11">
        <f>IFERROR(H1053/I1053,0)</f>
        <v>0</v>
      </c>
      <c r="P1053" s="11">
        <f>IFERROR((J1053-H1053)/H1053,0)</f>
        <v>0</v>
      </c>
    </row>
    <row r="1054" spans="1:16">
      <c r="A1054">
        <v>950109</v>
      </c>
      <c r="B1054" t="s">
        <v>161</v>
      </c>
      <c r="C1054" t="s">
        <v>0</v>
      </c>
      <c r="D1054" t="s">
        <v>1</v>
      </c>
      <c r="E1054" s="14">
        <v>20</v>
      </c>
      <c r="F1054" s="14">
        <v>343</v>
      </c>
      <c r="G1054" s="14">
        <v>0</v>
      </c>
      <c r="H1054" s="13">
        <v>0</v>
      </c>
      <c r="I1054" s="14">
        <v>0</v>
      </c>
      <c r="J1054" s="11">
        <f>I1054*85</f>
        <v>0</v>
      </c>
      <c r="K1054" s="11">
        <f>J1054-H1054</f>
        <v>0</v>
      </c>
      <c r="L1054" s="10">
        <f>G1054/F1054</f>
        <v>0</v>
      </c>
      <c r="M1054" s="14">
        <f>IFERROR(ROUND(I1054/G1054,2),0)</f>
        <v>0</v>
      </c>
      <c r="N1054" s="11">
        <f>IFERROR(H1054/G1054,0)</f>
        <v>0</v>
      </c>
      <c r="O1054" s="11">
        <f>IFERROR(H1054/I1054,0)</f>
        <v>0</v>
      </c>
      <c r="P1054" s="11">
        <f>IFERROR((J1054-H1054)/H1054,0)</f>
        <v>0</v>
      </c>
    </row>
    <row r="1055" spans="1:16">
      <c r="A1055">
        <v>950170</v>
      </c>
      <c r="B1055" t="s">
        <v>161</v>
      </c>
      <c r="C1055" t="s">
        <v>0</v>
      </c>
      <c r="D1055" t="s">
        <v>1</v>
      </c>
      <c r="E1055" s="14">
        <v>15</v>
      </c>
      <c r="F1055" s="14">
        <v>1720</v>
      </c>
      <c r="G1055" s="14">
        <v>0</v>
      </c>
      <c r="H1055" s="13">
        <v>0</v>
      </c>
      <c r="I1055" s="14">
        <v>0</v>
      </c>
      <c r="J1055" s="11">
        <f>I1055*85</f>
        <v>0</v>
      </c>
      <c r="K1055" s="11">
        <f>J1055-H1055</f>
        <v>0</v>
      </c>
      <c r="L1055" s="10">
        <f>G1055/F1055</f>
        <v>0</v>
      </c>
      <c r="M1055" s="14">
        <f>IFERROR(ROUND(I1055/G1055,2),0)</f>
        <v>0</v>
      </c>
      <c r="N1055" s="11">
        <f>IFERROR(H1055/G1055,0)</f>
        <v>0</v>
      </c>
      <c r="O1055" s="11">
        <f>IFERROR(H1055/I1055,0)</f>
        <v>0</v>
      </c>
      <c r="P1055" s="11">
        <f>IFERROR((J1055-H1055)/H1055,0)</f>
        <v>0</v>
      </c>
    </row>
    <row r="1056" spans="1:16">
      <c r="A1056">
        <v>950179</v>
      </c>
      <c r="B1056" t="s">
        <v>161</v>
      </c>
      <c r="C1056" t="s">
        <v>0</v>
      </c>
      <c r="D1056" t="s">
        <v>1</v>
      </c>
      <c r="E1056" s="14">
        <v>16</v>
      </c>
      <c r="F1056" s="14">
        <v>3423</v>
      </c>
      <c r="G1056" s="14">
        <v>0</v>
      </c>
      <c r="H1056" s="13">
        <v>0</v>
      </c>
      <c r="I1056" s="14">
        <v>0</v>
      </c>
      <c r="J1056" s="11">
        <f>I1056*85</f>
        <v>0</v>
      </c>
      <c r="K1056" s="11">
        <f>J1056-H1056</f>
        <v>0</v>
      </c>
      <c r="L1056" s="10">
        <f>G1056/F1056</f>
        <v>0</v>
      </c>
      <c r="M1056" s="14">
        <f>IFERROR(ROUND(I1056/G1056,2),0)</f>
        <v>0</v>
      </c>
      <c r="N1056" s="11">
        <f>IFERROR(H1056/G1056,0)</f>
        <v>0</v>
      </c>
      <c r="O1056" s="11">
        <f>IFERROR(H1056/I1056,0)</f>
        <v>0</v>
      </c>
      <c r="P1056" s="11">
        <f>IFERROR((J1056-H1056)/H1056,0)</f>
        <v>0</v>
      </c>
    </row>
    <row r="1057" spans="1:16">
      <c r="A1057">
        <v>950182</v>
      </c>
      <c r="B1057" t="s">
        <v>161</v>
      </c>
      <c r="C1057" t="s">
        <v>0</v>
      </c>
      <c r="D1057" t="s">
        <v>1</v>
      </c>
      <c r="E1057" s="14">
        <v>16</v>
      </c>
      <c r="F1057" s="14">
        <v>3242</v>
      </c>
      <c r="G1057" s="14">
        <v>0</v>
      </c>
      <c r="H1057" s="13">
        <v>0</v>
      </c>
      <c r="I1057" s="14">
        <v>0</v>
      </c>
      <c r="J1057" s="11">
        <f>I1057*85</f>
        <v>0</v>
      </c>
      <c r="K1057" s="11">
        <f>J1057-H1057</f>
        <v>0</v>
      </c>
      <c r="L1057" s="10">
        <f>G1057/F1057</f>
        <v>0</v>
      </c>
      <c r="M1057" s="14">
        <f>IFERROR(ROUND(I1057/G1057,2),0)</f>
        <v>0</v>
      </c>
      <c r="N1057" s="11">
        <f>IFERROR(H1057/G1057,0)</f>
        <v>0</v>
      </c>
      <c r="O1057" s="11">
        <f>IFERROR(H1057/I1057,0)</f>
        <v>0</v>
      </c>
      <c r="P1057" s="11">
        <f>IFERROR((J1057-H1057)/H1057,0)</f>
        <v>0</v>
      </c>
    </row>
    <row r="1058" spans="1:16">
      <c r="A1058">
        <v>950200</v>
      </c>
      <c r="B1058" t="s">
        <v>161</v>
      </c>
      <c r="C1058" t="s">
        <v>0</v>
      </c>
      <c r="D1058" t="s">
        <v>1</v>
      </c>
      <c r="E1058" s="14">
        <v>10</v>
      </c>
      <c r="F1058" s="14">
        <v>1217</v>
      </c>
      <c r="G1058" s="14">
        <v>0</v>
      </c>
      <c r="H1058" s="13">
        <v>0</v>
      </c>
      <c r="I1058" s="14">
        <v>0</v>
      </c>
      <c r="J1058" s="11">
        <f>I1058*85</f>
        <v>0</v>
      </c>
      <c r="K1058" s="11">
        <f>J1058-H1058</f>
        <v>0</v>
      </c>
      <c r="L1058" s="10">
        <f>G1058/F1058</f>
        <v>0</v>
      </c>
      <c r="M1058" s="14">
        <f>IFERROR(ROUND(I1058/G1058,2),0)</f>
        <v>0</v>
      </c>
      <c r="N1058" s="11">
        <f>IFERROR(H1058/G1058,0)</f>
        <v>0</v>
      </c>
      <c r="O1058" s="11">
        <f>IFERROR(H1058/I1058,0)</f>
        <v>0</v>
      </c>
      <c r="P1058" s="11">
        <f>IFERROR((J1058-H1058)/H1058,0)</f>
        <v>0</v>
      </c>
    </row>
    <row r="1059" spans="1:16">
      <c r="A1059">
        <v>950345</v>
      </c>
      <c r="B1059" t="s">
        <v>161</v>
      </c>
      <c r="C1059" t="s">
        <v>0</v>
      </c>
      <c r="D1059" t="s">
        <v>1</v>
      </c>
      <c r="E1059" s="14">
        <v>64</v>
      </c>
      <c r="F1059" s="14">
        <v>616</v>
      </c>
      <c r="G1059" s="14">
        <v>0</v>
      </c>
      <c r="H1059" s="13">
        <v>0</v>
      </c>
      <c r="I1059" s="14">
        <v>0</v>
      </c>
      <c r="J1059" s="11">
        <f>I1059*85</f>
        <v>0</v>
      </c>
      <c r="K1059" s="11">
        <f>J1059-H1059</f>
        <v>0</v>
      </c>
      <c r="L1059" s="10">
        <f>G1059/F1059</f>
        <v>0</v>
      </c>
      <c r="M1059" s="14">
        <f>IFERROR(ROUND(I1059/G1059,2),0)</f>
        <v>0</v>
      </c>
      <c r="N1059" s="11">
        <f>IFERROR(H1059/G1059,0)</f>
        <v>0</v>
      </c>
      <c r="O1059" s="11">
        <f>IFERROR(H1059/I1059,0)</f>
        <v>0</v>
      </c>
      <c r="P1059" s="11">
        <f>IFERROR((J1059-H1059)/H1059,0)</f>
        <v>0</v>
      </c>
    </row>
    <row r="1060" spans="1:16">
      <c r="A1060">
        <v>950463</v>
      </c>
      <c r="B1060" t="s">
        <v>161</v>
      </c>
      <c r="C1060" t="s">
        <v>4</v>
      </c>
      <c r="D1060" t="s">
        <v>1</v>
      </c>
      <c r="E1060" s="14">
        <v>15</v>
      </c>
      <c r="F1060" s="14">
        <v>818</v>
      </c>
      <c r="G1060" s="14">
        <v>0</v>
      </c>
      <c r="H1060" s="13">
        <v>0</v>
      </c>
      <c r="I1060" s="14">
        <v>0</v>
      </c>
      <c r="J1060" s="11">
        <f>I1060*85</f>
        <v>0</v>
      </c>
      <c r="K1060" s="11">
        <f>J1060-H1060</f>
        <v>0</v>
      </c>
      <c r="L1060" s="10">
        <f>G1060/F1060</f>
        <v>0</v>
      </c>
      <c r="M1060" s="14">
        <f>IFERROR(ROUND(I1060/G1060,2),0)</f>
        <v>0</v>
      </c>
      <c r="N1060" s="11">
        <f>IFERROR(H1060/G1060,0)</f>
        <v>0</v>
      </c>
      <c r="O1060" s="11">
        <f>IFERROR(H1060/I1060,0)</f>
        <v>0</v>
      </c>
      <c r="P1060" s="11">
        <f>IFERROR((J1060-H1060)/H1060,0)</f>
        <v>0</v>
      </c>
    </row>
    <row r="1061" spans="1:16">
      <c r="A1061">
        <v>950521</v>
      </c>
      <c r="B1061" t="s">
        <v>161</v>
      </c>
      <c r="C1061" t="s">
        <v>0</v>
      </c>
      <c r="D1061" t="s">
        <v>1</v>
      </c>
      <c r="E1061" s="14">
        <v>21</v>
      </c>
      <c r="F1061" s="14">
        <v>351</v>
      </c>
      <c r="G1061" s="14">
        <v>0</v>
      </c>
      <c r="H1061" s="13">
        <v>0</v>
      </c>
      <c r="I1061" s="14">
        <v>0</v>
      </c>
      <c r="J1061" s="11">
        <f>I1061*85</f>
        <v>0</v>
      </c>
      <c r="K1061" s="11">
        <f>J1061-H1061</f>
        <v>0</v>
      </c>
      <c r="L1061" s="10">
        <f>G1061/F1061</f>
        <v>0</v>
      </c>
      <c r="M1061" s="14">
        <f>IFERROR(ROUND(I1061/G1061,2),0)</f>
        <v>0</v>
      </c>
      <c r="N1061" s="11">
        <f>IFERROR(H1061/G1061,0)</f>
        <v>0</v>
      </c>
      <c r="O1061" s="11">
        <f>IFERROR(H1061/I1061,0)</f>
        <v>0</v>
      </c>
      <c r="P1061" s="11">
        <f>IFERROR((J1061-H1061)/H1061,0)</f>
        <v>0</v>
      </c>
    </row>
    <row r="1062" spans="1:16">
      <c r="A1062">
        <v>950531</v>
      </c>
      <c r="B1062" t="s">
        <v>161</v>
      </c>
      <c r="C1062" t="s">
        <v>4</v>
      </c>
      <c r="D1062" t="s">
        <v>1</v>
      </c>
      <c r="E1062" s="14">
        <v>22</v>
      </c>
      <c r="F1062" s="14">
        <v>572</v>
      </c>
      <c r="G1062" s="14">
        <v>0</v>
      </c>
      <c r="H1062" s="13">
        <v>0</v>
      </c>
      <c r="I1062" s="14">
        <v>0</v>
      </c>
      <c r="J1062" s="11">
        <f>I1062*85</f>
        <v>0</v>
      </c>
      <c r="K1062" s="11">
        <f>J1062-H1062</f>
        <v>0</v>
      </c>
      <c r="L1062" s="10">
        <f>G1062/F1062</f>
        <v>0</v>
      </c>
      <c r="M1062" s="14">
        <f>IFERROR(ROUND(I1062/G1062,2),0)</f>
        <v>0</v>
      </c>
      <c r="N1062" s="11">
        <f>IFERROR(H1062/G1062,0)</f>
        <v>0</v>
      </c>
      <c r="O1062" s="11">
        <f>IFERROR(H1062/I1062,0)</f>
        <v>0</v>
      </c>
      <c r="P1062" s="11">
        <f>IFERROR((J1062-H1062)/H1062,0)</f>
        <v>0</v>
      </c>
    </row>
    <row r="1063" spans="1:16">
      <c r="A1063">
        <v>950550</v>
      </c>
      <c r="B1063" t="s">
        <v>161</v>
      </c>
      <c r="C1063" t="s">
        <v>0</v>
      </c>
      <c r="D1063" t="s">
        <v>1</v>
      </c>
      <c r="E1063" s="14">
        <v>30</v>
      </c>
      <c r="F1063" s="14">
        <v>219</v>
      </c>
      <c r="G1063" s="14">
        <v>0</v>
      </c>
      <c r="H1063" s="13">
        <v>0</v>
      </c>
      <c r="I1063" s="14">
        <v>0</v>
      </c>
      <c r="J1063" s="11">
        <f>I1063*85</f>
        <v>0</v>
      </c>
      <c r="K1063" s="11">
        <f>J1063-H1063</f>
        <v>0</v>
      </c>
      <c r="L1063" s="10">
        <f>G1063/F1063</f>
        <v>0</v>
      </c>
      <c r="M1063" s="14">
        <f>IFERROR(ROUND(I1063/G1063,2),0)</f>
        <v>0</v>
      </c>
      <c r="N1063" s="11">
        <f>IFERROR(H1063/G1063,0)</f>
        <v>0</v>
      </c>
      <c r="O1063" s="11">
        <f>IFERROR(H1063/I1063,0)</f>
        <v>0</v>
      </c>
      <c r="P1063" s="11">
        <f>IFERROR((J1063-H1063)/H1063,0)</f>
        <v>0</v>
      </c>
    </row>
    <row r="1064" spans="1:16">
      <c r="A1064">
        <v>950577</v>
      </c>
      <c r="B1064" t="s">
        <v>161</v>
      </c>
      <c r="C1064" t="s">
        <v>0</v>
      </c>
      <c r="D1064" t="s">
        <v>1</v>
      </c>
      <c r="E1064" s="14">
        <v>32</v>
      </c>
      <c r="F1064" s="14">
        <v>540</v>
      </c>
      <c r="G1064" s="14">
        <v>0</v>
      </c>
      <c r="H1064" s="13">
        <v>0</v>
      </c>
      <c r="I1064" s="14">
        <v>0</v>
      </c>
      <c r="J1064" s="11">
        <f>I1064*85</f>
        <v>0</v>
      </c>
      <c r="K1064" s="11">
        <f>J1064-H1064</f>
        <v>0</v>
      </c>
      <c r="L1064" s="10">
        <f>G1064/F1064</f>
        <v>0</v>
      </c>
      <c r="M1064" s="14">
        <f>IFERROR(ROUND(I1064/G1064,2),0)</f>
        <v>0</v>
      </c>
      <c r="N1064" s="11">
        <f>IFERROR(H1064/G1064,0)</f>
        <v>0</v>
      </c>
      <c r="O1064" s="11">
        <f>IFERROR(H1064/I1064,0)</f>
        <v>0</v>
      </c>
      <c r="P1064" s="11">
        <f>IFERROR((J1064-H1064)/H1064,0)</f>
        <v>0</v>
      </c>
    </row>
    <row r="1065" spans="1:16">
      <c r="A1065">
        <v>950578</v>
      </c>
      <c r="B1065" t="s">
        <v>161</v>
      </c>
      <c r="C1065" t="s">
        <v>0</v>
      </c>
      <c r="D1065" t="s">
        <v>1</v>
      </c>
      <c r="E1065" s="14">
        <v>32</v>
      </c>
      <c r="F1065" s="14">
        <v>550</v>
      </c>
      <c r="G1065" s="14">
        <v>0</v>
      </c>
      <c r="H1065" s="13">
        <v>0</v>
      </c>
      <c r="I1065" s="14">
        <v>0</v>
      </c>
      <c r="J1065" s="11">
        <f>I1065*85</f>
        <v>0</v>
      </c>
      <c r="K1065" s="11">
        <f>J1065-H1065</f>
        <v>0</v>
      </c>
      <c r="L1065" s="10">
        <f>G1065/F1065</f>
        <v>0</v>
      </c>
      <c r="M1065" s="14">
        <f>IFERROR(ROUND(I1065/G1065,2),0)</f>
        <v>0</v>
      </c>
      <c r="N1065" s="11">
        <f>IFERROR(H1065/G1065,0)</f>
        <v>0</v>
      </c>
      <c r="O1065" s="11">
        <f>IFERROR(H1065/I1065,0)</f>
        <v>0</v>
      </c>
      <c r="P1065" s="11">
        <f>IFERROR((J1065-H1065)/H1065,0)</f>
        <v>0</v>
      </c>
    </row>
    <row r="1066" spans="1:16">
      <c r="A1066">
        <v>950595</v>
      </c>
      <c r="B1066" t="s">
        <v>161</v>
      </c>
      <c r="C1066" t="s">
        <v>0</v>
      </c>
      <c r="D1066" t="s">
        <v>1</v>
      </c>
      <c r="E1066" s="14">
        <v>26</v>
      </c>
      <c r="F1066" s="14">
        <v>465</v>
      </c>
      <c r="G1066" s="14">
        <v>0</v>
      </c>
      <c r="H1066" s="13">
        <v>0</v>
      </c>
      <c r="I1066" s="14">
        <v>0</v>
      </c>
      <c r="J1066" s="11">
        <f>I1066*85</f>
        <v>0</v>
      </c>
      <c r="K1066" s="11">
        <f>J1066-H1066</f>
        <v>0</v>
      </c>
      <c r="L1066" s="10">
        <f>G1066/F1066</f>
        <v>0</v>
      </c>
      <c r="M1066" s="14">
        <f>IFERROR(ROUND(I1066/G1066,2),0)</f>
        <v>0</v>
      </c>
      <c r="N1066" s="11">
        <f>IFERROR(H1066/G1066,0)</f>
        <v>0</v>
      </c>
      <c r="O1066" s="11">
        <f>IFERROR(H1066/I1066,0)</f>
        <v>0</v>
      </c>
      <c r="P1066" s="11">
        <f>IFERROR((J1066-H1066)/H1066,0)</f>
        <v>0</v>
      </c>
    </row>
    <row r="1067" spans="1:16">
      <c r="A1067">
        <v>950609</v>
      </c>
      <c r="B1067" t="s">
        <v>161</v>
      </c>
      <c r="C1067" t="s">
        <v>0</v>
      </c>
      <c r="D1067" t="s">
        <v>1</v>
      </c>
      <c r="E1067" s="14">
        <v>29</v>
      </c>
      <c r="F1067" s="14">
        <v>1761</v>
      </c>
      <c r="G1067" s="14">
        <v>0</v>
      </c>
      <c r="H1067" s="13">
        <v>0</v>
      </c>
      <c r="I1067" s="14">
        <v>0</v>
      </c>
      <c r="J1067" s="11">
        <f>I1067*85</f>
        <v>0</v>
      </c>
      <c r="K1067" s="11">
        <f>J1067-H1067</f>
        <v>0</v>
      </c>
      <c r="L1067" s="10">
        <f>G1067/F1067</f>
        <v>0</v>
      </c>
      <c r="M1067" s="14">
        <f>IFERROR(ROUND(I1067/G1067,2),0)</f>
        <v>0</v>
      </c>
      <c r="N1067" s="11">
        <f>IFERROR(H1067/G1067,0)</f>
        <v>0</v>
      </c>
      <c r="O1067" s="11">
        <f>IFERROR(H1067/I1067,0)</f>
        <v>0</v>
      </c>
      <c r="P1067" s="11">
        <f>IFERROR((J1067-H1067)/H1067,0)</f>
        <v>0</v>
      </c>
    </row>
    <row r="1068" spans="1:16">
      <c r="A1068">
        <v>950629</v>
      </c>
      <c r="B1068" t="s">
        <v>161</v>
      </c>
      <c r="C1068" t="s">
        <v>0</v>
      </c>
      <c r="D1068" t="s">
        <v>1</v>
      </c>
      <c r="E1068" s="14">
        <v>65</v>
      </c>
      <c r="F1068" s="14">
        <v>152</v>
      </c>
      <c r="G1068" s="14">
        <v>0</v>
      </c>
      <c r="H1068" s="13">
        <v>0</v>
      </c>
      <c r="I1068" s="14">
        <v>0</v>
      </c>
      <c r="J1068" s="11">
        <f>I1068*85</f>
        <v>0</v>
      </c>
      <c r="K1068" s="11">
        <f>J1068-H1068</f>
        <v>0</v>
      </c>
      <c r="L1068" s="10">
        <f>G1068/F1068</f>
        <v>0</v>
      </c>
      <c r="M1068" s="14">
        <f>IFERROR(ROUND(I1068/G1068,2),0)</f>
        <v>0</v>
      </c>
      <c r="N1068" s="11">
        <f>IFERROR(H1068/G1068,0)</f>
        <v>0</v>
      </c>
      <c r="O1068" s="11">
        <f>IFERROR(H1068/I1068,0)</f>
        <v>0</v>
      </c>
      <c r="P1068" s="11">
        <f>IFERROR((J1068-H1068)/H1068,0)</f>
        <v>0</v>
      </c>
    </row>
    <row r="1069" spans="1:16">
      <c r="A1069">
        <v>950631</v>
      </c>
      <c r="B1069" t="s">
        <v>161</v>
      </c>
      <c r="C1069" t="s">
        <v>0</v>
      </c>
      <c r="D1069" t="s">
        <v>1</v>
      </c>
      <c r="E1069" s="14">
        <v>65</v>
      </c>
      <c r="F1069" s="14">
        <v>152</v>
      </c>
      <c r="G1069" s="14">
        <v>0</v>
      </c>
      <c r="H1069" s="13">
        <v>0</v>
      </c>
      <c r="I1069" s="14">
        <v>0</v>
      </c>
      <c r="J1069" s="11">
        <f>I1069*85</f>
        <v>0</v>
      </c>
      <c r="K1069" s="11">
        <f>J1069-H1069</f>
        <v>0</v>
      </c>
      <c r="L1069" s="10">
        <f>G1069/F1069</f>
        <v>0</v>
      </c>
      <c r="M1069" s="14">
        <f>IFERROR(ROUND(I1069/G1069,2),0)</f>
        <v>0</v>
      </c>
      <c r="N1069" s="11">
        <f>IFERROR(H1069/G1069,0)</f>
        <v>0</v>
      </c>
      <c r="O1069" s="11">
        <f>IFERROR(H1069/I1069,0)</f>
        <v>0</v>
      </c>
      <c r="P1069" s="11">
        <f>IFERROR((J1069-H1069)/H1069,0)</f>
        <v>0</v>
      </c>
    </row>
    <row r="1070" spans="1:16">
      <c r="A1070">
        <v>950649</v>
      </c>
      <c r="B1070" t="s">
        <v>161</v>
      </c>
      <c r="C1070" t="s">
        <v>0</v>
      </c>
      <c r="D1070" t="s">
        <v>1</v>
      </c>
      <c r="E1070" s="14">
        <v>64</v>
      </c>
      <c r="F1070" s="14">
        <v>429</v>
      </c>
      <c r="G1070" s="14">
        <v>0</v>
      </c>
      <c r="H1070" s="13">
        <v>0</v>
      </c>
      <c r="I1070" s="14">
        <v>0</v>
      </c>
      <c r="J1070" s="11">
        <f>I1070*85</f>
        <v>0</v>
      </c>
      <c r="K1070" s="11">
        <f>J1070-H1070</f>
        <v>0</v>
      </c>
      <c r="L1070" s="10">
        <f>G1070/F1070</f>
        <v>0</v>
      </c>
      <c r="M1070" s="14">
        <f>IFERROR(ROUND(I1070/G1070,2),0)</f>
        <v>0</v>
      </c>
      <c r="N1070" s="11">
        <f>IFERROR(H1070/G1070,0)</f>
        <v>0</v>
      </c>
      <c r="O1070" s="11">
        <f>IFERROR(H1070/I1070,0)</f>
        <v>0</v>
      </c>
      <c r="P1070" s="11">
        <f>IFERROR((J1070-H1070)/H1070,0)</f>
        <v>0</v>
      </c>
    </row>
    <row r="1071" spans="1:16">
      <c r="A1071">
        <v>950745</v>
      </c>
      <c r="B1071" t="s">
        <v>161</v>
      </c>
      <c r="C1071" t="s">
        <v>0</v>
      </c>
      <c r="D1071" t="s">
        <v>1</v>
      </c>
      <c r="E1071" s="14">
        <v>29</v>
      </c>
      <c r="F1071" s="14">
        <v>1514</v>
      </c>
      <c r="G1071" s="14">
        <v>0</v>
      </c>
      <c r="H1071" s="13">
        <v>0</v>
      </c>
      <c r="I1071" s="14">
        <v>0</v>
      </c>
      <c r="J1071" s="11">
        <f>I1071*85</f>
        <v>0</v>
      </c>
      <c r="K1071" s="11">
        <f>J1071-H1071</f>
        <v>0</v>
      </c>
      <c r="L1071" s="10">
        <f>G1071/F1071</f>
        <v>0</v>
      </c>
      <c r="M1071" s="14">
        <f>IFERROR(ROUND(I1071/G1071,2),0)</f>
        <v>0</v>
      </c>
      <c r="N1071" s="11">
        <f>IFERROR(H1071/G1071,0)</f>
        <v>0</v>
      </c>
      <c r="O1071" s="11">
        <f>IFERROR(H1071/I1071,0)</f>
        <v>0</v>
      </c>
      <c r="P1071" s="11">
        <f>IFERROR((J1071-H1071)/H1071,0)</f>
        <v>0</v>
      </c>
    </row>
    <row r="1072" spans="1:16">
      <c r="A1072">
        <v>950772</v>
      </c>
      <c r="B1072" t="s">
        <v>161</v>
      </c>
      <c r="C1072" t="s">
        <v>2</v>
      </c>
      <c r="D1072" t="s">
        <v>1</v>
      </c>
      <c r="E1072" s="14">
        <v>28</v>
      </c>
      <c r="F1072" s="14">
        <v>460</v>
      </c>
      <c r="G1072" s="14">
        <v>0</v>
      </c>
      <c r="H1072" s="13">
        <v>0</v>
      </c>
      <c r="I1072" s="14">
        <v>0</v>
      </c>
      <c r="J1072" s="11">
        <f>I1072*85</f>
        <v>0</v>
      </c>
      <c r="K1072" s="11">
        <f>J1072-H1072</f>
        <v>0</v>
      </c>
      <c r="L1072" s="10">
        <f>G1072/F1072</f>
        <v>0</v>
      </c>
      <c r="M1072" s="14">
        <f>IFERROR(ROUND(I1072/G1072,2),0)</f>
        <v>0</v>
      </c>
      <c r="N1072" s="11">
        <f>IFERROR(H1072/G1072,0)</f>
        <v>0</v>
      </c>
      <c r="O1072" s="11">
        <f>IFERROR(H1072/I1072,0)</f>
        <v>0</v>
      </c>
      <c r="P1072" s="11">
        <f>IFERROR((J1072-H1072)/H1072,0)</f>
        <v>0</v>
      </c>
    </row>
    <row r="1073" spans="1:16">
      <c r="A1073">
        <v>950773</v>
      </c>
      <c r="B1073" t="s">
        <v>161</v>
      </c>
      <c r="C1073" t="s">
        <v>2</v>
      </c>
      <c r="D1073" t="s">
        <v>1</v>
      </c>
      <c r="E1073" s="14">
        <v>28</v>
      </c>
      <c r="F1073" s="14">
        <v>471</v>
      </c>
      <c r="G1073" s="14">
        <v>0</v>
      </c>
      <c r="H1073" s="13">
        <v>0</v>
      </c>
      <c r="I1073" s="14">
        <v>0</v>
      </c>
      <c r="J1073" s="11">
        <f>I1073*85</f>
        <v>0</v>
      </c>
      <c r="K1073" s="11">
        <f>J1073-H1073</f>
        <v>0</v>
      </c>
      <c r="L1073" s="10">
        <f>G1073/F1073</f>
        <v>0</v>
      </c>
      <c r="M1073" s="14">
        <f>IFERROR(ROUND(I1073/G1073,2),0)</f>
        <v>0</v>
      </c>
      <c r="N1073" s="11">
        <f>IFERROR(H1073/G1073,0)</f>
        <v>0</v>
      </c>
      <c r="O1073" s="11">
        <f>IFERROR(H1073/I1073,0)</f>
        <v>0</v>
      </c>
      <c r="P1073" s="11">
        <f>IFERROR((J1073-H1073)/H1073,0)</f>
        <v>0</v>
      </c>
    </row>
    <row r="1074" spans="1:16">
      <c r="A1074">
        <v>950787</v>
      </c>
      <c r="B1074" t="s">
        <v>161</v>
      </c>
      <c r="C1074" t="s">
        <v>0</v>
      </c>
      <c r="D1074" t="s">
        <v>1</v>
      </c>
      <c r="E1074" s="14">
        <v>27</v>
      </c>
      <c r="F1074" s="14">
        <v>199</v>
      </c>
      <c r="G1074" s="14">
        <v>0</v>
      </c>
      <c r="H1074" s="13">
        <v>0</v>
      </c>
      <c r="I1074" s="14">
        <v>0</v>
      </c>
      <c r="J1074" s="11">
        <f>I1074*85</f>
        <v>0</v>
      </c>
      <c r="K1074" s="11">
        <f>J1074-H1074</f>
        <v>0</v>
      </c>
      <c r="L1074" s="10">
        <f>G1074/F1074</f>
        <v>0</v>
      </c>
      <c r="M1074" s="14">
        <f>IFERROR(ROUND(I1074/G1074,2),0)</f>
        <v>0</v>
      </c>
      <c r="N1074" s="11">
        <f>IFERROR(H1074/G1074,0)</f>
        <v>0</v>
      </c>
      <c r="O1074" s="11">
        <f>IFERROR(H1074/I1074,0)</f>
        <v>0</v>
      </c>
      <c r="P1074" s="11">
        <f>IFERROR((J1074-H1074)/H1074,0)</f>
        <v>0</v>
      </c>
    </row>
    <row r="1075" spans="1:16">
      <c r="A1075">
        <v>950808</v>
      </c>
      <c r="B1075" t="s">
        <v>161</v>
      </c>
      <c r="C1075" t="s">
        <v>2</v>
      </c>
      <c r="D1075" t="s">
        <v>1</v>
      </c>
      <c r="E1075" s="14">
        <v>32</v>
      </c>
      <c r="F1075" s="14">
        <v>398</v>
      </c>
      <c r="G1075" s="14">
        <v>0</v>
      </c>
      <c r="H1075" s="13">
        <v>0</v>
      </c>
      <c r="I1075" s="14">
        <v>0</v>
      </c>
      <c r="J1075" s="11">
        <f>I1075*85</f>
        <v>0</v>
      </c>
      <c r="K1075" s="11">
        <f>J1075-H1075</f>
        <v>0</v>
      </c>
      <c r="L1075" s="10">
        <f>G1075/F1075</f>
        <v>0</v>
      </c>
      <c r="M1075" s="14">
        <f>IFERROR(ROUND(I1075/G1075,2),0)</f>
        <v>0</v>
      </c>
      <c r="N1075" s="11">
        <f>IFERROR(H1075/G1075,0)</f>
        <v>0</v>
      </c>
      <c r="O1075" s="11">
        <f>IFERROR(H1075/I1075,0)</f>
        <v>0</v>
      </c>
      <c r="P1075" s="11">
        <f>IFERROR((J1075-H1075)/H1075,0)</f>
        <v>0</v>
      </c>
    </row>
    <row r="1076" spans="1:16">
      <c r="A1076">
        <v>950839</v>
      </c>
      <c r="B1076" t="s">
        <v>161</v>
      </c>
      <c r="C1076" t="s">
        <v>0</v>
      </c>
      <c r="D1076" t="s">
        <v>1</v>
      </c>
      <c r="E1076" s="14">
        <v>24</v>
      </c>
      <c r="F1076" s="14">
        <v>246</v>
      </c>
      <c r="G1076" s="14">
        <v>0</v>
      </c>
      <c r="H1076" s="13">
        <v>0</v>
      </c>
      <c r="I1076" s="14">
        <v>0</v>
      </c>
      <c r="J1076" s="11">
        <f>I1076*85</f>
        <v>0</v>
      </c>
      <c r="K1076" s="11">
        <f>J1076-H1076</f>
        <v>0</v>
      </c>
      <c r="L1076" s="10">
        <f>G1076/F1076</f>
        <v>0</v>
      </c>
      <c r="M1076" s="14">
        <f>IFERROR(ROUND(I1076/G1076,2),0)</f>
        <v>0</v>
      </c>
      <c r="N1076" s="11">
        <f>IFERROR(H1076/G1076,0)</f>
        <v>0</v>
      </c>
      <c r="O1076" s="11">
        <f>IFERROR(H1076/I1076,0)</f>
        <v>0</v>
      </c>
      <c r="P1076" s="11">
        <f>IFERROR((J1076-H1076)/H1076,0)</f>
        <v>0</v>
      </c>
    </row>
    <row r="1077" spans="1:16">
      <c r="A1077">
        <v>950969</v>
      </c>
      <c r="B1077" t="s">
        <v>161</v>
      </c>
      <c r="C1077" t="s">
        <v>4</v>
      </c>
      <c r="D1077" t="s">
        <v>1</v>
      </c>
      <c r="E1077" s="14">
        <v>36</v>
      </c>
      <c r="F1077" s="14">
        <v>255</v>
      </c>
      <c r="G1077" s="14">
        <v>0</v>
      </c>
      <c r="H1077" s="13">
        <v>0</v>
      </c>
      <c r="I1077" s="14">
        <v>0</v>
      </c>
      <c r="J1077" s="11">
        <f>I1077*85</f>
        <v>0</v>
      </c>
      <c r="K1077" s="11">
        <f>J1077-H1077</f>
        <v>0</v>
      </c>
      <c r="L1077" s="10">
        <f>G1077/F1077</f>
        <v>0</v>
      </c>
      <c r="M1077" s="14">
        <f>IFERROR(ROUND(I1077/G1077,2),0)</f>
        <v>0</v>
      </c>
      <c r="N1077" s="11">
        <f>IFERROR(H1077/G1077,0)</f>
        <v>0</v>
      </c>
      <c r="O1077" s="11">
        <f>IFERROR(H1077/I1077,0)</f>
        <v>0</v>
      </c>
      <c r="P1077" s="11">
        <f>IFERROR((J1077-H1077)/H1077,0)</f>
        <v>0</v>
      </c>
    </row>
    <row r="1078" spans="1:16">
      <c r="A1078">
        <v>951021</v>
      </c>
      <c r="B1078" t="s">
        <v>161</v>
      </c>
      <c r="C1078" t="s">
        <v>0</v>
      </c>
      <c r="D1078" t="s">
        <v>5</v>
      </c>
      <c r="E1078" s="14">
        <v>7</v>
      </c>
      <c r="F1078" s="14">
        <v>457</v>
      </c>
      <c r="G1078" s="14">
        <v>0</v>
      </c>
      <c r="H1078" s="13">
        <v>0</v>
      </c>
      <c r="I1078" s="14">
        <v>0</v>
      </c>
      <c r="J1078" s="11">
        <f>I1078*85</f>
        <v>0</v>
      </c>
      <c r="K1078" s="11">
        <f>J1078-H1078</f>
        <v>0</v>
      </c>
      <c r="L1078" s="10">
        <f>G1078/F1078</f>
        <v>0</v>
      </c>
      <c r="M1078" s="14">
        <f>IFERROR(ROUND(I1078/G1078,2),0)</f>
        <v>0</v>
      </c>
      <c r="N1078" s="11">
        <f>IFERROR(H1078/G1078,0)</f>
        <v>0</v>
      </c>
      <c r="O1078" s="11">
        <f>IFERROR(H1078/I1078,0)</f>
        <v>0</v>
      </c>
      <c r="P1078" s="11">
        <f>IFERROR((J1078-H1078)/H1078,0)</f>
        <v>0</v>
      </c>
    </row>
    <row r="1079" spans="1:16">
      <c r="A1079">
        <v>951035</v>
      </c>
      <c r="B1079" t="s">
        <v>161</v>
      </c>
      <c r="C1079" t="s">
        <v>0</v>
      </c>
      <c r="D1079" t="s">
        <v>5</v>
      </c>
      <c r="E1079" s="14">
        <v>10</v>
      </c>
      <c r="F1079" s="14">
        <v>1539</v>
      </c>
      <c r="G1079" s="14">
        <v>0</v>
      </c>
      <c r="H1079" s="13">
        <v>0</v>
      </c>
      <c r="I1079" s="14">
        <v>0</v>
      </c>
      <c r="J1079" s="11">
        <f>I1079*85</f>
        <v>0</v>
      </c>
      <c r="K1079" s="11">
        <f>J1079-H1079</f>
        <v>0</v>
      </c>
      <c r="L1079" s="10">
        <f>G1079/F1079</f>
        <v>0</v>
      </c>
      <c r="M1079" s="14">
        <f>IFERROR(ROUND(I1079/G1079,2),0)</f>
        <v>0</v>
      </c>
      <c r="N1079" s="11">
        <f>IFERROR(H1079/G1079,0)</f>
        <v>0</v>
      </c>
      <c r="O1079" s="11">
        <f>IFERROR(H1079/I1079,0)</f>
        <v>0</v>
      </c>
      <c r="P1079" s="11">
        <f>IFERROR((J1079-H1079)/H1079,0)</f>
        <v>0</v>
      </c>
    </row>
    <row r="1080" spans="1:16">
      <c r="A1080">
        <v>951043</v>
      </c>
      <c r="B1080" t="s">
        <v>161</v>
      </c>
      <c r="C1080" t="s">
        <v>0</v>
      </c>
      <c r="D1080" t="s">
        <v>5</v>
      </c>
      <c r="E1080" s="14">
        <v>16</v>
      </c>
      <c r="F1080" s="14">
        <v>3189</v>
      </c>
      <c r="G1080" s="14">
        <v>0</v>
      </c>
      <c r="H1080" s="13">
        <v>0</v>
      </c>
      <c r="I1080" s="14">
        <v>0</v>
      </c>
      <c r="J1080" s="11">
        <f>I1080*85</f>
        <v>0</v>
      </c>
      <c r="K1080" s="11">
        <f>J1080-H1080</f>
        <v>0</v>
      </c>
      <c r="L1080" s="10">
        <f>G1080/F1080</f>
        <v>0</v>
      </c>
      <c r="M1080" s="14">
        <f>IFERROR(ROUND(I1080/G1080,2),0)</f>
        <v>0</v>
      </c>
      <c r="N1080" s="11">
        <f>IFERROR(H1080/G1080,0)</f>
        <v>0</v>
      </c>
      <c r="O1080" s="11">
        <f>IFERROR(H1080/I1080,0)</f>
        <v>0</v>
      </c>
      <c r="P1080" s="11">
        <f>IFERROR((J1080-H1080)/H1080,0)</f>
        <v>0</v>
      </c>
    </row>
    <row r="1081" spans="1:16">
      <c r="A1081">
        <v>951045</v>
      </c>
      <c r="B1081" t="s">
        <v>161</v>
      </c>
      <c r="C1081" t="s">
        <v>0</v>
      </c>
      <c r="D1081" t="s">
        <v>5</v>
      </c>
      <c r="E1081" s="14">
        <v>16</v>
      </c>
      <c r="F1081" s="14">
        <v>3348</v>
      </c>
      <c r="G1081" s="14">
        <v>0</v>
      </c>
      <c r="H1081" s="13">
        <v>0</v>
      </c>
      <c r="I1081" s="14">
        <v>0</v>
      </c>
      <c r="J1081" s="11">
        <f>I1081*85</f>
        <v>0</v>
      </c>
      <c r="K1081" s="11">
        <f>J1081-H1081</f>
        <v>0</v>
      </c>
      <c r="L1081" s="10">
        <f>G1081/F1081</f>
        <v>0</v>
      </c>
      <c r="M1081" s="14">
        <f>IFERROR(ROUND(I1081/G1081,2),0)</f>
        <v>0</v>
      </c>
      <c r="N1081" s="11">
        <f>IFERROR(H1081/G1081,0)</f>
        <v>0</v>
      </c>
      <c r="O1081" s="11">
        <f>IFERROR(H1081/I1081,0)</f>
        <v>0</v>
      </c>
      <c r="P1081" s="11">
        <f>IFERROR((J1081-H1081)/H1081,0)</f>
        <v>0</v>
      </c>
    </row>
    <row r="1082" spans="1:16">
      <c r="A1082">
        <v>951102</v>
      </c>
      <c r="B1082" t="s">
        <v>161</v>
      </c>
      <c r="C1082" t="s">
        <v>4</v>
      </c>
      <c r="D1082" t="s">
        <v>1</v>
      </c>
      <c r="E1082" s="14">
        <v>16</v>
      </c>
      <c r="F1082" s="14">
        <v>2254</v>
      </c>
      <c r="G1082" s="14">
        <v>0</v>
      </c>
      <c r="H1082" s="13">
        <v>0</v>
      </c>
      <c r="I1082" s="14">
        <v>0</v>
      </c>
      <c r="J1082" s="11">
        <f>I1082*85</f>
        <v>0</v>
      </c>
      <c r="K1082" s="11">
        <f>J1082-H1082</f>
        <v>0</v>
      </c>
      <c r="L1082" s="10">
        <f>G1082/F1082</f>
        <v>0</v>
      </c>
      <c r="M1082" s="14">
        <f>IFERROR(ROUND(I1082/G1082,2),0)</f>
        <v>0</v>
      </c>
      <c r="N1082" s="11">
        <f>IFERROR(H1082/G1082,0)</f>
        <v>0</v>
      </c>
      <c r="O1082" s="11">
        <f>IFERROR(H1082/I1082,0)</f>
        <v>0</v>
      </c>
      <c r="P1082" s="11">
        <f>IFERROR((J1082-H1082)/H1082,0)</f>
        <v>0</v>
      </c>
    </row>
    <row r="1083" spans="1:16">
      <c r="A1083">
        <v>951270</v>
      </c>
      <c r="B1083" t="s">
        <v>161</v>
      </c>
      <c r="C1083" t="s">
        <v>2</v>
      </c>
      <c r="D1083" t="s">
        <v>5</v>
      </c>
      <c r="E1083" s="14">
        <v>18</v>
      </c>
      <c r="F1083" s="14">
        <v>784</v>
      </c>
      <c r="G1083" s="14">
        <v>0</v>
      </c>
      <c r="H1083" s="13">
        <v>0</v>
      </c>
      <c r="I1083" s="14">
        <v>0</v>
      </c>
      <c r="J1083" s="11">
        <f>I1083*85</f>
        <v>0</v>
      </c>
      <c r="K1083" s="11">
        <f>J1083-H1083</f>
        <v>0</v>
      </c>
      <c r="L1083" s="10">
        <f>G1083/F1083</f>
        <v>0</v>
      </c>
      <c r="M1083" s="14">
        <f>IFERROR(ROUND(I1083/G1083,2),0)</f>
        <v>0</v>
      </c>
      <c r="N1083" s="11">
        <f>IFERROR(H1083/G1083,0)</f>
        <v>0</v>
      </c>
      <c r="O1083" s="11">
        <f>IFERROR(H1083/I1083,0)</f>
        <v>0</v>
      </c>
      <c r="P1083" s="11">
        <f>IFERROR((J1083-H1083)/H1083,0)</f>
        <v>0</v>
      </c>
    </row>
    <row r="1084" spans="1:16">
      <c r="A1084">
        <v>951294</v>
      </c>
      <c r="B1084" t="s">
        <v>161</v>
      </c>
      <c r="C1084" t="s">
        <v>2</v>
      </c>
      <c r="D1084" t="s">
        <v>5</v>
      </c>
      <c r="E1084" s="14">
        <v>15</v>
      </c>
      <c r="F1084" s="14">
        <v>699</v>
      </c>
      <c r="G1084" s="14">
        <v>0</v>
      </c>
      <c r="H1084" s="13">
        <v>0</v>
      </c>
      <c r="I1084" s="14">
        <v>0</v>
      </c>
      <c r="J1084" s="11">
        <f>I1084*85</f>
        <v>0</v>
      </c>
      <c r="K1084" s="11">
        <f>J1084-H1084</f>
        <v>0</v>
      </c>
      <c r="L1084" s="10">
        <f>G1084/F1084</f>
        <v>0</v>
      </c>
      <c r="M1084" s="14">
        <f>IFERROR(ROUND(I1084/G1084,2),0)</f>
        <v>0</v>
      </c>
      <c r="N1084" s="11">
        <f>IFERROR(H1084/G1084,0)</f>
        <v>0</v>
      </c>
      <c r="O1084" s="11">
        <f>IFERROR(H1084/I1084,0)</f>
        <v>0</v>
      </c>
      <c r="P1084" s="11">
        <f>IFERROR((J1084-H1084)/H1084,0)</f>
        <v>0</v>
      </c>
    </row>
    <row r="1085" spans="1:16">
      <c r="A1085">
        <v>951305</v>
      </c>
      <c r="B1085" t="s">
        <v>161</v>
      </c>
      <c r="C1085" t="s">
        <v>2</v>
      </c>
      <c r="D1085" t="s">
        <v>5</v>
      </c>
      <c r="E1085" s="14">
        <v>10</v>
      </c>
      <c r="F1085" s="14">
        <v>1104</v>
      </c>
      <c r="G1085" s="14">
        <v>0</v>
      </c>
      <c r="H1085" s="13">
        <v>0</v>
      </c>
      <c r="I1085" s="14">
        <v>0</v>
      </c>
      <c r="J1085" s="11">
        <f>I1085*85</f>
        <v>0</v>
      </c>
      <c r="K1085" s="11">
        <f>J1085-H1085</f>
        <v>0</v>
      </c>
      <c r="L1085" s="10">
        <f>G1085/F1085</f>
        <v>0</v>
      </c>
      <c r="M1085" s="14">
        <f>IFERROR(ROUND(I1085/G1085,2),0)</f>
        <v>0</v>
      </c>
      <c r="N1085" s="11">
        <f>IFERROR(H1085/G1085,0)</f>
        <v>0</v>
      </c>
      <c r="O1085" s="11">
        <f>IFERROR(H1085/I1085,0)</f>
        <v>0</v>
      </c>
      <c r="P1085" s="11">
        <f>IFERROR((J1085-H1085)/H1085,0)</f>
        <v>0</v>
      </c>
    </row>
    <row r="1086" spans="1:16">
      <c r="A1086">
        <v>951402</v>
      </c>
      <c r="B1086" t="s">
        <v>161</v>
      </c>
      <c r="C1086" t="s">
        <v>0</v>
      </c>
      <c r="D1086" t="s">
        <v>5</v>
      </c>
      <c r="E1086" s="14">
        <v>29</v>
      </c>
      <c r="F1086" s="14">
        <v>1118</v>
      </c>
      <c r="G1086" s="14">
        <v>0</v>
      </c>
      <c r="H1086" s="13">
        <v>0</v>
      </c>
      <c r="I1086" s="14">
        <v>0</v>
      </c>
      <c r="J1086" s="11">
        <f>I1086*85</f>
        <v>0</v>
      </c>
      <c r="K1086" s="11">
        <f>J1086-H1086</f>
        <v>0</v>
      </c>
      <c r="L1086" s="10">
        <f>G1086/F1086</f>
        <v>0</v>
      </c>
      <c r="M1086" s="14">
        <f>IFERROR(ROUND(I1086/G1086,2),0)</f>
        <v>0</v>
      </c>
      <c r="N1086" s="11">
        <f>IFERROR(H1086/G1086,0)</f>
        <v>0</v>
      </c>
      <c r="O1086" s="11">
        <f>IFERROR(H1086/I1086,0)</f>
        <v>0</v>
      </c>
      <c r="P1086" s="11">
        <f>IFERROR((J1086-H1086)/H1086,0)</f>
        <v>0</v>
      </c>
    </row>
    <row r="1087" spans="1:16">
      <c r="A1087">
        <v>951413</v>
      </c>
      <c r="B1087" t="s">
        <v>161</v>
      </c>
      <c r="C1087" t="s">
        <v>0</v>
      </c>
      <c r="D1087" t="s">
        <v>5</v>
      </c>
      <c r="E1087" s="14">
        <v>26</v>
      </c>
      <c r="F1087" s="14">
        <v>1083</v>
      </c>
      <c r="G1087" s="14">
        <v>0</v>
      </c>
      <c r="H1087" s="13">
        <v>0</v>
      </c>
      <c r="I1087" s="14">
        <v>0</v>
      </c>
      <c r="J1087" s="11">
        <f>I1087*85</f>
        <v>0</v>
      </c>
      <c r="K1087" s="11">
        <f>J1087-H1087</f>
        <v>0</v>
      </c>
      <c r="L1087" s="10">
        <f>G1087/F1087</f>
        <v>0</v>
      </c>
      <c r="M1087" s="14">
        <f>IFERROR(ROUND(I1087/G1087,2),0)</f>
        <v>0</v>
      </c>
      <c r="N1087" s="11">
        <f>IFERROR(H1087/G1087,0)</f>
        <v>0</v>
      </c>
      <c r="O1087" s="11">
        <f>IFERROR(H1087/I1087,0)</f>
        <v>0</v>
      </c>
      <c r="P1087" s="11">
        <f>IFERROR((J1087-H1087)/H1087,0)</f>
        <v>0</v>
      </c>
    </row>
    <row r="1088" spans="1:16">
      <c r="A1088">
        <v>951420</v>
      </c>
      <c r="B1088" t="s">
        <v>161</v>
      </c>
      <c r="C1088" t="s">
        <v>0</v>
      </c>
      <c r="D1088" t="s">
        <v>5</v>
      </c>
      <c r="E1088" s="14">
        <v>27</v>
      </c>
      <c r="F1088" s="14">
        <v>843</v>
      </c>
      <c r="G1088" s="14">
        <v>0</v>
      </c>
      <c r="H1088" s="13">
        <v>0</v>
      </c>
      <c r="I1088" s="14">
        <v>0</v>
      </c>
      <c r="J1088" s="11">
        <f>I1088*85</f>
        <v>0</v>
      </c>
      <c r="K1088" s="11">
        <f>J1088-H1088</f>
        <v>0</v>
      </c>
      <c r="L1088" s="10">
        <f>G1088/F1088</f>
        <v>0</v>
      </c>
      <c r="M1088" s="14">
        <f>IFERROR(ROUND(I1088/G1088,2),0)</f>
        <v>0</v>
      </c>
      <c r="N1088" s="11">
        <f>IFERROR(H1088/G1088,0)</f>
        <v>0</v>
      </c>
      <c r="O1088" s="11">
        <f>IFERROR(H1088/I1088,0)</f>
        <v>0</v>
      </c>
      <c r="P1088" s="11">
        <f>IFERROR((J1088-H1088)/H1088,0)</f>
        <v>0</v>
      </c>
    </row>
    <row r="1089" spans="1:16">
      <c r="A1089">
        <v>951448</v>
      </c>
      <c r="B1089" t="s">
        <v>161</v>
      </c>
      <c r="C1089" t="s">
        <v>0</v>
      </c>
      <c r="D1089" t="s">
        <v>5</v>
      </c>
      <c r="E1089" s="14">
        <v>25</v>
      </c>
      <c r="F1089" s="14">
        <v>696</v>
      </c>
      <c r="G1089" s="14">
        <v>0</v>
      </c>
      <c r="H1089" s="13">
        <v>0</v>
      </c>
      <c r="I1089" s="14">
        <v>0</v>
      </c>
      <c r="J1089" s="11">
        <f>I1089*85</f>
        <v>0</v>
      </c>
      <c r="K1089" s="11">
        <f>J1089-H1089</f>
        <v>0</v>
      </c>
      <c r="L1089" s="10">
        <f>G1089/F1089</f>
        <v>0</v>
      </c>
      <c r="M1089" s="14">
        <f>IFERROR(ROUND(I1089/G1089,2),0)</f>
        <v>0</v>
      </c>
      <c r="N1089" s="11">
        <f>IFERROR(H1089/G1089,0)</f>
        <v>0</v>
      </c>
      <c r="O1089" s="11">
        <f>IFERROR(H1089/I1089,0)</f>
        <v>0</v>
      </c>
      <c r="P1089" s="11">
        <f>IFERROR((J1089-H1089)/H1089,0)</f>
        <v>0</v>
      </c>
    </row>
    <row r="1090" spans="1:16">
      <c r="A1090">
        <v>951498</v>
      </c>
      <c r="B1090" t="s">
        <v>161</v>
      </c>
      <c r="C1090" t="s">
        <v>4</v>
      </c>
      <c r="D1090" t="s">
        <v>5</v>
      </c>
      <c r="E1090" s="14">
        <v>20</v>
      </c>
      <c r="F1090" s="14">
        <v>259</v>
      </c>
      <c r="G1090" s="14">
        <v>0</v>
      </c>
      <c r="H1090" s="13">
        <v>0</v>
      </c>
      <c r="I1090" s="14">
        <v>0</v>
      </c>
      <c r="J1090" s="11">
        <f>I1090*85</f>
        <v>0</v>
      </c>
      <c r="K1090" s="11">
        <f>J1090-H1090</f>
        <v>0</v>
      </c>
      <c r="L1090" s="10">
        <f>G1090/F1090</f>
        <v>0</v>
      </c>
      <c r="M1090" s="14">
        <f>IFERROR(ROUND(I1090/G1090,2),0)</f>
        <v>0</v>
      </c>
      <c r="N1090" s="11">
        <f>IFERROR(H1090/G1090,0)</f>
        <v>0</v>
      </c>
      <c r="O1090" s="11">
        <f>IFERROR(H1090/I1090,0)</f>
        <v>0</v>
      </c>
      <c r="P1090" s="11">
        <f>IFERROR((J1090-H1090)/H1090,0)</f>
        <v>0</v>
      </c>
    </row>
    <row r="1091" spans="1:16">
      <c r="A1091">
        <v>951508</v>
      </c>
      <c r="B1091" t="s">
        <v>161</v>
      </c>
      <c r="C1091" t="s">
        <v>0</v>
      </c>
      <c r="D1091" t="s">
        <v>5</v>
      </c>
      <c r="E1091" s="14">
        <v>18</v>
      </c>
      <c r="F1091" s="14">
        <v>1134</v>
      </c>
      <c r="G1091" s="14">
        <v>0</v>
      </c>
      <c r="H1091" s="13">
        <v>0</v>
      </c>
      <c r="I1091" s="14">
        <v>0</v>
      </c>
      <c r="J1091" s="11">
        <f>I1091*85</f>
        <v>0</v>
      </c>
      <c r="K1091" s="11">
        <f>J1091-H1091</f>
        <v>0</v>
      </c>
      <c r="L1091" s="10">
        <f>G1091/F1091</f>
        <v>0</v>
      </c>
      <c r="M1091" s="14">
        <f>IFERROR(ROUND(I1091/G1091,2),0)</f>
        <v>0</v>
      </c>
      <c r="N1091" s="11">
        <f>IFERROR(H1091/G1091,0)</f>
        <v>0</v>
      </c>
      <c r="O1091" s="11">
        <f>IFERROR(H1091/I1091,0)</f>
        <v>0</v>
      </c>
      <c r="P1091" s="11">
        <f>IFERROR((J1091-H1091)/H1091,0)</f>
        <v>0</v>
      </c>
    </row>
    <row r="1092" spans="1:16">
      <c r="A1092">
        <v>951542</v>
      </c>
      <c r="B1092" t="s">
        <v>161</v>
      </c>
      <c r="C1092" t="s">
        <v>3</v>
      </c>
      <c r="D1092" t="s">
        <v>5</v>
      </c>
      <c r="E1092" s="14">
        <v>27</v>
      </c>
      <c r="F1092" s="14">
        <v>357</v>
      </c>
      <c r="G1092" s="14">
        <v>0</v>
      </c>
      <c r="H1092" s="13">
        <v>0</v>
      </c>
      <c r="I1092" s="14">
        <v>0</v>
      </c>
      <c r="J1092" s="11">
        <f>I1092*85</f>
        <v>0</v>
      </c>
      <c r="K1092" s="11">
        <f>J1092-H1092</f>
        <v>0</v>
      </c>
      <c r="L1092" s="10">
        <f>G1092/F1092</f>
        <v>0</v>
      </c>
      <c r="M1092" s="14">
        <f>IFERROR(ROUND(I1092/G1092,2),0)</f>
        <v>0</v>
      </c>
      <c r="N1092" s="11">
        <f>IFERROR(H1092/G1092,0)</f>
        <v>0</v>
      </c>
      <c r="O1092" s="11">
        <f>IFERROR(H1092/I1092,0)</f>
        <v>0</v>
      </c>
      <c r="P1092" s="11">
        <f>IFERROR((J1092-H1092)/H1092,0)</f>
        <v>0</v>
      </c>
    </row>
    <row r="1093" spans="1:16">
      <c r="A1093">
        <v>951607</v>
      </c>
      <c r="B1093" t="s">
        <v>161</v>
      </c>
      <c r="C1093" t="s">
        <v>3</v>
      </c>
      <c r="D1093" t="s">
        <v>5</v>
      </c>
      <c r="E1093" s="14">
        <v>10</v>
      </c>
      <c r="F1093" s="14">
        <v>848</v>
      </c>
      <c r="G1093" s="14">
        <v>0</v>
      </c>
      <c r="H1093" s="13">
        <v>0</v>
      </c>
      <c r="I1093" s="14">
        <v>0</v>
      </c>
      <c r="J1093" s="11">
        <f>I1093*85</f>
        <v>0</v>
      </c>
      <c r="K1093" s="11">
        <f>J1093-H1093</f>
        <v>0</v>
      </c>
      <c r="L1093" s="10">
        <f>G1093/F1093</f>
        <v>0</v>
      </c>
      <c r="M1093" s="14">
        <f>IFERROR(ROUND(I1093/G1093,2),0)</f>
        <v>0</v>
      </c>
      <c r="N1093" s="11">
        <f>IFERROR(H1093/G1093,0)</f>
        <v>0</v>
      </c>
      <c r="O1093" s="11">
        <f>IFERROR(H1093/I1093,0)</f>
        <v>0</v>
      </c>
      <c r="P1093" s="11">
        <f>IFERROR((J1093-H1093)/H1093,0)</f>
        <v>0</v>
      </c>
    </row>
    <row r="1094" spans="1:16">
      <c r="A1094">
        <v>951641</v>
      </c>
      <c r="B1094" t="s">
        <v>161</v>
      </c>
      <c r="C1094" t="s">
        <v>3</v>
      </c>
      <c r="D1094" t="s">
        <v>5</v>
      </c>
      <c r="E1094" s="14">
        <v>2</v>
      </c>
      <c r="F1094" s="14">
        <v>87</v>
      </c>
      <c r="G1094" s="14">
        <v>0</v>
      </c>
      <c r="H1094" s="13">
        <v>0</v>
      </c>
      <c r="I1094" s="14">
        <v>0</v>
      </c>
      <c r="J1094" s="11">
        <f>I1094*85</f>
        <v>0</v>
      </c>
      <c r="K1094" s="11">
        <f>J1094-H1094</f>
        <v>0</v>
      </c>
      <c r="L1094" s="10">
        <f>G1094/F1094</f>
        <v>0</v>
      </c>
      <c r="M1094" s="14">
        <f>IFERROR(ROUND(I1094/G1094,2),0)</f>
        <v>0</v>
      </c>
      <c r="N1094" s="11">
        <f>IFERROR(H1094/G1094,0)</f>
        <v>0</v>
      </c>
      <c r="O1094" s="11">
        <f>IFERROR(H1094/I1094,0)</f>
        <v>0</v>
      </c>
      <c r="P1094" s="11">
        <f>IFERROR((J1094-H1094)/H1094,0)</f>
        <v>0</v>
      </c>
    </row>
    <row r="1095" spans="1:16">
      <c r="A1095">
        <v>951692</v>
      </c>
      <c r="B1095" t="s">
        <v>161</v>
      </c>
      <c r="C1095" t="s">
        <v>2</v>
      </c>
      <c r="D1095" t="s">
        <v>5</v>
      </c>
      <c r="E1095" s="14">
        <v>10</v>
      </c>
      <c r="F1095" s="14">
        <v>1107</v>
      </c>
      <c r="G1095" s="14">
        <v>0</v>
      </c>
      <c r="H1095" s="13">
        <v>0</v>
      </c>
      <c r="I1095" s="14">
        <v>0</v>
      </c>
      <c r="J1095" s="11">
        <f>I1095*85</f>
        <v>0</v>
      </c>
      <c r="K1095" s="11">
        <f>J1095-H1095</f>
        <v>0</v>
      </c>
      <c r="L1095" s="10">
        <f>G1095/F1095</f>
        <v>0</v>
      </c>
      <c r="M1095" s="14">
        <f>IFERROR(ROUND(I1095/G1095,2),0)</f>
        <v>0</v>
      </c>
      <c r="N1095" s="11">
        <f>IFERROR(H1095/G1095,0)</f>
        <v>0</v>
      </c>
      <c r="O1095" s="11">
        <f>IFERROR(H1095/I1095,0)</f>
        <v>0</v>
      </c>
      <c r="P1095" s="11">
        <f>IFERROR((J1095-H1095)/H1095,0)</f>
        <v>0</v>
      </c>
    </row>
    <row r="1096" spans="1:16">
      <c r="A1096">
        <v>951782</v>
      </c>
      <c r="B1096" t="s">
        <v>161</v>
      </c>
      <c r="C1096" t="s">
        <v>4</v>
      </c>
      <c r="D1096" t="s">
        <v>5</v>
      </c>
      <c r="E1096" s="14">
        <v>26</v>
      </c>
      <c r="F1096" s="14">
        <v>781</v>
      </c>
      <c r="G1096" s="14">
        <v>0</v>
      </c>
      <c r="H1096" s="13">
        <v>0</v>
      </c>
      <c r="I1096" s="14">
        <v>0</v>
      </c>
      <c r="J1096" s="11">
        <f>I1096*85</f>
        <v>0</v>
      </c>
      <c r="K1096" s="11">
        <f>J1096-H1096</f>
        <v>0</v>
      </c>
      <c r="L1096" s="10">
        <f>G1096/F1096</f>
        <v>0</v>
      </c>
      <c r="M1096" s="14">
        <f>IFERROR(ROUND(I1096/G1096,2),0)</f>
        <v>0</v>
      </c>
      <c r="N1096" s="11">
        <f>IFERROR(H1096/G1096,0)</f>
        <v>0</v>
      </c>
      <c r="O1096" s="11">
        <f>IFERROR(H1096/I1096,0)</f>
        <v>0</v>
      </c>
      <c r="P1096" s="11">
        <f>IFERROR((J1096-H1096)/H1096,0)</f>
        <v>0</v>
      </c>
    </row>
    <row r="1097" spans="1:16">
      <c r="A1097">
        <v>951810</v>
      </c>
      <c r="B1097" t="s">
        <v>161</v>
      </c>
      <c r="C1097" t="s">
        <v>2</v>
      </c>
      <c r="D1097" t="s">
        <v>5</v>
      </c>
      <c r="E1097" s="14">
        <v>16</v>
      </c>
      <c r="F1097" s="14">
        <v>2226</v>
      </c>
      <c r="G1097" s="14">
        <v>0</v>
      </c>
      <c r="H1097" s="13">
        <v>0</v>
      </c>
      <c r="I1097" s="14">
        <v>0</v>
      </c>
      <c r="J1097" s="11">
        <f>I1097*85</f>
        <v>0</v>
      </c>
      <c r="K1097" s="11">
        <f>J1097-H1097</f>
        <v>0</v>
      </c>
      <c r="L1097" s="10">
        <f>G1097/F1097</f>
        <v>0</v>
      </c>
      <c r="M1097" s="14">
        <f>IFERROR(ROUND(I1097/G1097,2),0)</f>
        <v>0</v>
      </c>
      <c r="N1097" s="11">
        <f>IFERROR(H1097/G1097,0)</f>
        <v>0</v>
      </c>
      <c r="O1097" s="11">
        <f>IFERROR(H1097/I1097,0)</f>
        <v>0</v>
      </c>
      <c r="P1097" s="11">
        <f>IFERROR((J1097-H1097)/H1097,0)</f>
        <v>0</v>
      </c>
    </row>
    <row r="1098" spans="1:16">
      <c r="A1098">
        <v>951853</v>
      </c>
      <c r="B1098" t="s">
        <v>161</v>
      </c>
      <c r="C1098" t="s">
        <v>0</v>
      </c>
      <c r="D1098" t="s">
        <v>5</v>
      </c>
      <c r="E1098" s="14">
        <v>20</v>
      </c>
      <c r="F1098" s="14">
        <v>529</v>
      </c>
      <c r="G1098" s="14">
        <v>0</v>
      </c>
      <c r="H1098" s="13">
        <v>0</v>
      </c>
      <c r="I1098" s="14">
        <v>0</v>
      </c>
      <c r="J1098" s="11">
        <f>I1098*85</f>
        <v>0</v>
      </c>
      <c r="K1098" s="11">
        <f>J1098-H1098</f>
        <v>0</v>
      </c>
      <c r="L1098" s="10">
        <f>G1098/F1098</f>
        <v>0</v>
      </c>
      <c r="M1098" s="14">
        <f>IFERROR(ROUND(I1098/G1098,2),0)</f>
        <v>0</v>
      </c>
      <c r="N1098" s="11">
        <f>IFERROR(H1098/G1098,0)</f>
        <v>0</v>
      </c>
      <c r="O1098" s="11">
        <f>IFERROR(H1098/I1098,0)</f>
        <v>0</v>
      </c>
      <c r="P1098" s="11">
        <f>IFERROR((J1098-H1098)/H1098,0)</f>
        <v>0</v>
      </c>
    </row>
    <row r="1099" spans="1:16">
      <c r="A1099">
        <v>951854</v>
      </c>
      <c r="B1099" t="s">
        <v>161</v>
      </c>
      <c r="C1099" t="s">
        <v>0</v>
      </c>
      <c r="D1099" t="s">
        <v>5</v>
      </c>
      <c r="E1099" s="14">
        <v>20</v>
      </c>
      <c r="F1099" s="14">
        <v>487</v>
      </c>
      <c r="G1099" s="14">
        <v>0</v>
      </c>
      <c r="H1099" s="13">
        <v>0</v>
      </c>
      <c r="I1099" s="14">
        <v>0</v>
      </c>
      <c r="J1099" s="11">
        <f>I1099*85</f>
        <v>0</v>
      </c>
      <c r="K1099" s="11">
        <f>J1099-H1099</f>
        <v>0</v>
      </c>
      <c r="L1099" s="10">
        <f>G1099/F1099</f>
        <v>0</v>
      </c>
      <c r="M1099" s="14">
        <f>IFERROR(ROUND(I1099/G1099,2),0)</f>
        <v>0</v>
      </c>
      <c r="N1099" s="11">
        <f>IFERROR(H1099/G1099,0)</f>
        <v>0</v>
      </c>
      <c r="O1099" s="11">
        <f>IFERROR(H1099/I1099,0)</f>
        <v>0</v>
      </c>
      <c r="P1099" s="11">
        <f>IFERROR((J1099-H1099)/H1099,0)</f>
        <v>0</v>
      </c>
    </row>
    <row r="1100" spans="1:16">
      <c r="A1100">
        <v>952080</v>
      </c>
      <c r="B1100" t="s">
        <v>161</v>
      </c>
      <c r="C1100" t="s">
        <v>3</v>
      </c>
      <c r="D1100" t="s">
        <v>5</v>
      </c>
      <c r="E1100" s="14">
        <v>27</v>
      </c>
      <c r="F1100" s="14">
        <v>415</v>
      </c>
      <c r="G1100" s="14">
        <v>0</v>
      </c>
      <c r="H1100" s="13">
        <v>0</v>
      </c>
      <c r="I1100" s="14">
        <v>0</v>
      </c>
      <c r="J1100" s="11">
        <f>I1100*85</f>
        <v>0</v>
      </c>
      <c r="K1100" s="11">
        <f>J1100-H1100</f>
        <v>0</v>
      </c>
      <c r="L1100" s="10">
        <f>G1100/F1100</f>
        <v>0</v>
      </c>
      <c r="M1100" s="14">
        <f>IFERROR(ROUND(I1100/G1100,2),0)</f>
        <v>0</v>
      </c>
      <c r="N1100" s="11">
        <f>IFERROR(H1100/G1100,0)</f>
        <v>0</v>
      </c>
      <c r="O1100" s="11">
        <f>IFERROR(H1100/I1100,0)</f>
        <v>0</v>
      </c>
      <c r="P1100" s="11">
        <f>IFERROR((J1100-H1100)/H1100,0)</f>
        <v>0</v>
      </c>
    </row>
    <row r="1101" spans="1:16">
      <c r="A1101">
        <v>952100</v>
      </c>
      <c r="B1101" t="s">
        <v>161</v>
      </c>
      <c r="C1101" t="s">
        <v>2</v>
      </c>
      <c r="D1101" t="s">
        <v>5</v>
      </c>
      <c r="E1101" s="14">
        <v>29</v>
      </c>
      <c r="F1101" s="14">
        <v>810</v>
      </c>
      <c r="G1101" s="14">
        <v>0</v>
      </c>
      <c r="H1101" s="13">
        <v>0</v>
      </c>
      <c r="I1101" s="14">
        <v>0</v>
      </c>
      <c r="J1101" s="11">
        <f>I1101*85</f>
        <v>0</v>
      </c>
      <c r="K1101" s="11">
        <f>J1101-H1101</f>
        <v>0</v>
      </c>
      <c r="L1101" s="10">
        <f>G1101/F1101</f>
        <v>0</v>
      </c>
      <c r="M1101" s="14">
        <f>IFERROR(ROUND(I1101/G1101,2),0)</f>
        <v>0</v>
      </c>
      <c r="N1101" s="11">
        <f>IFERROR(H1101/G1101,0)</f>
        <v>0</v>
      </c>
      <c r="O1101" s="11">
        <f>IFERROR(H1101/I1101,0)</f>
        <v>0</v>
      </c>
      <c r="P1101" s="11">
        <f>IFERROR((J1101-H1101)/H1101,0)</f>
        <v>0</v>
      </c>
    </row>
    <row r="1102" spans="1:16">
      <c r="A1102">
        <v>1121094</v>
      </c>
      <c r="B1102" t="s">
        <v>162</v>
      </c>
      <c r="C1102" t="s">
        <v>0</v>
      </c>
      <c r="D1102" t="s">
        <v>1</v>
      </c>
      <c r="E1102" s="14">
        <v>10</v>
      </c>
      <c r="F1102" s="14">
        <v>24362</v>
      </c>
      <c r="G1102" s="14">
        <v>0</v>
      </c>
      <c r="H1102" s="13">
        <v>0</v>
      </c>
      <c r="I1102" s="14">
        <v>0</v>
      </c>
      <c r="J1102" s="11">
        <f>I1102*85</f>
        <v>0</v>
      </c>
      <c r="K1102" s="11">
        <f>J1102-H1102</f>
        <v>0</v>
      </c>
      <c r="L1102" s="10">
        <f>G1102/F1102</f>
        <v>0</v>
      </c>
      <c r="M1102" s="14">
        <f>IFERROR(ROUND(I1102/G1102,2),0)</f>
        <v>0</v>
      </c>
      <c r="N1102" s="11">
        <f>IFERROR(H1102/G1102,0)</f>
        <v>0</v>
      </c>
      <c r="O1102" s="11">
        <f>IFERROR(H1102/I1102,0)</f>
        <v>0</v>
      </c>
      <c r="P1102" s="11">
        <f>IFERROR((J1102-H1102)/H1102,0)</f>
        <v>0</v>
      </c>
    </row>
    <row r="1103" spans="1:16">
      <c r="A1103">
        <v>1121224</v>
      </c>
      <c r="B1103" t="s">
        <v>162</v>
      </c>
      <c r="C1103" t="s">
        <v>0</v>
      </c>
      <c r="D1103" t="s">
        <v>1</v>
      </c>
      <c r="E1103" s="14">
        <v>31</v>
      </c>
      <c r="F1103" s="14">
        <v>14289</v>
      </c>
      <c r="G1103" s="14">
        <v>0</v>
      </c>
      <c r="H1103" s="13">
        <v>0</v>
      </c>
      <c r="I1103" s="14">
        <v>0</v>
      </c>
      <c r="J1103" s="11">
        <f>I1103*85</f>
        <v>0</v>
      </c>
      <c r="K1103" s="11">
        <f>J1103-H1103</f>
        <v>0</v>
      </c>
      <c r="L1103" s="10">
        <f>G1103/F1103</f>
        <v>0</v>
      </c>
      <c r="M1103" s="14">
        <f>IFERROR(ROUND(I1103/G1103,2),0)</f>
        <v>0</v>
      </c>
      <c r="N1103" s="11">
        <f>IFERROR(H1103/G1103,0)</f>
        <v>0</v>
      </c>
      <c r="O1103" s="11">
        <f>IFERROR(H1103/I1103,0)</f>
        <v>0</v>
      </c>
      <c r="P1103" s="11">
        <f>IFERROR((J1103-H1103)/H1103,0)</f>
        <v>0</v>
      </c>
    </row>
    <row r="1104" spans="1:16">
      <c r="A1104">
        <v>1121252</v>
      </c>
      <c r="B1104" t="s">
        <v>162</v>
      </c>
      <c r="C1104" t="s">
        <v>0</v>
      </c>
      <c r="D1104" t="s">
        <v>1</v>
      </c>
      <c r="E1104" s="14">
        <v>63</v>
      </c>
      <c r="F1104" s="14">
        <v>11139</v>
      </c>
      <c r="G1104" s="14">
        <v>0</v>
      </c>
      <c r="H1104" s="13">
        <v>0</v>
      </c>
      <c r="I1104" s="14">
        <v>0</v>
      </c>
      <c r="J1104" s="11">
        <f>I1104*85</f>
        <v>0</v>
      </c>
      <c r="K1104" s="11">
        <f>J1104-H1104</f>
        <v>0</v>
      </c>
      <c r="L1104" s="10">
        <f>G1104/F1104</f>
        <v>0</v>
      </c>
      <c r="M1104" s="14">
        <f>IFERROR(ROUND(I1104/G1104,2),0)</f>
        <v>0</v>
      </c>
      <c r="N1104" s="11">
        <f>IFERROR(H1104/G1104,0)</f>
        <v>0</v>
      </c>
      <c r="O1104" s="11">
        <f>IFERROR(H1104/I1104,0)</f>
        <v>0</v>
      </c>
      <c r="P1104" s="11">
        <f>IFERROR((J1104-H1104)/H1104,0)</f>
        <v>0</v>
      </c>
    </row>
    <row r="1105" spans="1:16">
      <c r="A1105">
        <v>1121273</v>
      </c>
      <c r="B1105" t="s">
        <v>162</v>
      </c>
      <c r="C1105" t="s">
        <v>0</v>
      </c>
      <c r="D1105" t="s">
        <v>1</v>
      </c>
      <c r="E1105" s="14">
        <v>2</v>
      </c>
      <c r="F1105" s="14">
        <v>9370</v>
      </c>
      <c r="G1105" s="14">
        <v>0</v>
      </c>
      <c r="H1105" s="13">
        <v>0</v>
      </c>
      <c r="I1105" s="14">
        <v>0</v>
      </c>
      <c r="J1105" s="11">
        <f>I1105*85</f>
        <v>0</v>
      </c>
      <c r="K1105" s="11">
        <f>J1105-H1105</f>
        <v>0</v>
      </c>
      <c r="L1105" s="10">
        <f>G1105/F1105</f>
        <v>0</v>
      </c>
      <c r="M1105" s="14">
        <f>IFERROR(ROUND(I1105/G1105,2),0)</f>
        <v>0</v>
      </c>
      <c r="N1105" s="11">
        <f>IFERROR(H1105/G1105,0)</f>
        <v>0</v>
      </c>
      <c r="O1105" s="11">
        <f>IFERROR(H1105/I1105,0)</f>
        <v>0</v>
      </c>
      <c r="P1105" s="11">
        <f>IFERROR((J1105-H1105)/H1105,0)</f>
        <v>0</v>
      </c>
    </row>
    <row r="1106" spans="1:16">
      <c r="A1106">
        <v>1121286</v>
      </c>
      <c r="B1106" t="s">
        <v>162</v>
      </c>
      <c r="C1106" t="s">
        <v>0</v>
      </c>
      <c r="D1106" t="s">
        <v>1</v>
      </c>
      <c r="E1106" s="14">
        <v>66</v>
      </c>
      <c r="F1106" s="14">
        <v>10991</v>
      </c>
      <c r="G1106" s="14">
        <v>0</v>
      </c>
      <c r="H1106" s="13">
        <v>0</v>
      </c>
      <c r="I1106" s="14">
        <v>0</v>
      </c>
      <c r="J1106" s="11">
        <f>I1106*85</f>
        <v>0</v>
      </c>
      <c r="K1106" s="11">
        <f>J1106-H1106</f>
        <v>0</v>
      </c>
      <c r="L1106" s="10">
        <f>G1106/F1106</f>
        <v>0</v>
      </c>
      <c r="M1106" s="14">
        <f>IFERROR(ROUND(I1106/G1106,2),0)</f>
        <v>0</v>
      </c>
      <c r="N1106" s="11">
        <f>IFERROR(H1106/G1106,0)</f>
        <v>0</v>
      </c>
      <c r="O1106" s="11">
        <f>IFERROR(H1106/I1106,0)</f>
        <v>0</v>
      </c>
      <c r="P1106" s="11">
        <f>IFERROR((J1106-H1106)/H1106,0)</f>
        <v>0</v>
      </c>
    </row>
    <row r="1107" spans="1:16">
      <c r="A1107">
        <v>1121359</v>
      </c>
      <c r="B1107" t="s">
        <v>162</v>
      </c>
      <c r="C1107" t="s">
        <v>2</v>
      </c>
      <c r="D1107" t="s">
        <v>1</v>
      </c>
      <c r="E1107" s="14">
        <v>26</v>
      </c>
      <c r="F1107" s="14">
        <v>7573</v>
      </c>
      <c r="G1107" s="14">
        <v>0</v>
      </c>
      <c r="H1107" s="13">
        <v>0</v>
      </c>
      <c r="I1107" s="14">
        <v>0</v>
      </c>
      <c r="J1107" s="11">
        <f>I1107*85</f>
        <v>0</v>
      </c>
      <c r="K1107" s="11">
        <f>J1107-H1107</f>
        <v>0</v>
      </c>
      <c r="L1107" s="10">
        <f>G1107/F1107</f>
        <v>0</v>
      </c>
      <c r="M1107" s="14">
        <f>IFERROR(ROUND(I1107/G1107,2),0)</f>
        <v>0</v>
      </c>
      <c r="N1107" s="11">
        <f>IFERROR(H1107/G1107,0)</f>
        <v>0</v>
      </c>
      <c r="O1107" s="11">
        <f>IFERROR(H1107/I1107,0)</f>
        <v>0</v>
      </c>
      <c r="P1107" s="11">
        <f>IFERROR((J1107-H1107)/H1107,0)</f>
        <v>0</v>
      </c>
    </row>
    <row r="1108" spans="1:16">
      <c r="A1108">
        <v>1121375</v>
      </c>
      <c r="B1108" t="s">
        <v>162</v>
      </c>
      <c r="C1108" t="s">
        <v>2</v>
      </c>
      <c r="D1108" t="s">
        <v>1</v>
      </c>
      <c r="E1108" s="14">
        <v>29</v>
      </c>
      <c r="F1108" s="14">
        <v>9921</v>
      </c>
      <c r="G1108" s="14">
        <v>0</v>
      </c>
      <c r="H1108" s="13">
        <v>0</v>
      </c>
      <c r="I1108" s="14">
        <v>0</v>
      </c>
      <c r="J1108" s="11">
        <f>I1108*85</f>
        <v>0</v>
      </c>
      <c r="K1108" s="11">
        <f>J1108-H1108</f>
        <v>0</v>
      </c>
      <c r="L1108" s="10">
        <f>G1108/F1108</f>
        <v>0</v>
      </c>
      <c r="M1108" s="14">
        <f>IFERROR(ROUND(I1108/G1108,2),0)</f>
        <v>0</v>
      </c>
      <c r="N1108" s="11">
        <f>IFERROR(H1108/G1108,0)</f>
        <v>0</v>
      </c>
      <c r="O1108" s="11">
        <f>IFERROR(H1108/I1108,0)</f>
        <v>0</v>
      </c>
      <c r="P1108" s="11">
        <f>IFERROR((J1108-H1108)/H1108,0)</f>
        <v>0</v>
      </c>
    </row>
    <row r="1109" spans="1:16">
      <c r="A1109">
        <v>1121477</v>
      </c>
      <c r="B1109" t="s">
        <v>162</v>
      </c>
      <c r="C1109" t="s">
        <v>3</v>
      </c>
      <c r="D1109" t="s">
        <v>1</v>
      </c>
      <c r="E1109" s="14">
        <v>21</v>
      </c>
      <c r="F1109" s="14">
        <v>7073</v>
      </c>
      <c r="G1109" s="14">
        <v>0</v>
      </c>
      <c r="H1109" s="13">
        <v>0</v>
      </c>
      <c r="I1109" s="14">
        <v>0</v>
      </c>
      <c r="J1109" s="11">
        <f>I1109*85</f>
        <v>0</v>
      </c>
      <c r="K1109" s="11">
        <f>J1109-H1109</f>
        <v>0</v>
      </c>
      <c r="L1109" s="10">
        <f>G1109/F1109</f>
        <v>0</v>
      </c>
      <c r="M1109" s="14">
        <f>IFERROR(ROUND(I1109/G1109,2),0)</f>
        <v>0</v>
      </c>
      <c r="N1109" s="11">
        <f>IFERROR(H1109/G1109,0)</f>
        <v>0</v>
      </c>
      <c r="O1109" s="11">
        <f>IFERROR(H1109/I1109,0)</f>
        <v>0</v>
      </c>
      <c r="P1109" s="11">
        <f>IFERROR((J1109-H1109)/H1109,0)</f>
        <v>0</v>
      </c>
    </row>
    <row r="1110" spans="1:16">
      <c r="A1110">
        <v>1121764</v>
      </c>
      <c r="B1110" t="s">
        <v>162</v>
      </c>
      <c r="C1110" t="s">
        <v>0</v>
      </c>
      <c r="D1110" t="s">
        <v>5</v>
      </c>
      <c r="E1110" s="14">
        <v>19</v>
      </c>
      <c r="F1110" s="14">
        <v>23368</v>
      </c>
      <c r="G1110" s="14">
        <v>3</v>
      </c>
      <c r="H1110" s="13">
        <v>4.3000001909999996</v>
      </c>
      <c r="I1110" s="14">
        <v>0</v>
      </c>
      <c r="J1110" s="11">
        <f>I1110*85</f>
        <v>0</v>
      </c>
      <c r="K1110" s="11">
        <f>J1110-H1110</f>
        <v>-4.3000001909999996</v>
      </c>
      <c r="L1110" s="10">
        <f>G1110/F1110</f>
        <v>1.2838069154399179E-4</v>
      </c>
      <c r="M1110" s="14">
        <f>IFERROR(ROUND(I1110/G1110,2),0)</f>
        <v>0</v>
      </c>
      <c r="N1110" s="11">
        <f>IFERROR(H1110/G1110,0)</f>
        <v>1.433333397</v>
      </c>
      <c r="O1110" s="11">
        <f>IFERROR(H1110/I1110,0)</f>
        <v>0</v>
      </c>
      <c r="P1110" s="11">
        <f>IFERROR((J1110-H1110)/H1110,0)</f>
        <v>-1</v>
      </c>
    </row>
    <row r="1111" spans="1:16">
      <c r="A1111">
        <v>1121765</v>
      </c>
      <c r="B1111" t="s">
        <v>162</v>
      </c>
      <c r="C1111" t="s">
        <v>0</v>
      </c>
      <c r="D1111" t="s">
        <v>5</v>
      </c>
      <c r="E1111" s="14">
        <v>19</v>
      </c>
      <c r="F1111" s="14">
        <v>51509</v>
      </c>
      <c r="G1111" s="14">
        <v>7</v>
      </c>
      <c r="H1111" s="13">
        <v>11.570000050000001</v>
      </c>
      <c r="I1111" s="14">
        <v>0</v>
      </c>
      <c r="J1111" s="11">
        <f>I1111*85</f>
        <v>0</v>
      </c>
      <c r="K1111" s="11">
        <f>J1111-H1111</f>
        <v>-11.570000050000001</v>
      </c>
      <c r="L1111" s="10">
        <f>G1111/F1111</f>
        <v>1.3589858083053446E-4</v>
      </c>
      <c r="M1111" s="14">
        <f>IFERROR(ROUND(I1111/G1111,2),0)</f>
        <v>0</v>
      </c>
      <c r="N1111" s="11">
        <f>IFERROR(H1111/G1111,0)</f>
        <v>1.6528571500000002</v>
      </c>
      <c r="O1111" s="11">
        <f>IFERROR(H1111/I1111,0)</f>
        <v>0</v>
      </c>
      <c r="P1111" s="11">
        <f>IFERROR((J1111-H1111)/H1111,0)</f>
        <v>-1</v>
      </c>
    </row>
    <row r="1112" spans="1:16">
      <c r="A1112">
        <v>1121791</v>
      </c>
      <c r="B1112" t="s">
        <v>162</v>
      </c>
      <c r="C1112" t="s">
        <v>0</v>
      </c>
      <c r="D1112" t="s">
        <v>5</v>
      </c>
      <c r="E1112" s="14">
        <v>23</v>
      </c>
      <c r="F1112" s="14">
        <v>6838</v>
      </c>
      <c r="G1112" s="14">
        <v>0</v>
      </c>
      <c r="H1112" s="13">
        <v>0</v>
      </c>
      <c r="I1112" s="14">
        <v>0</v>
      </c>
      <c r="J1112" s="11">
        <f>I1112*85</f>
        <v>0</v>
      </c>
      <c r="K1112" s="11">
        <f>J1112-H1112</f>
        <v>0</v>
      </c>
      <c r="L1112" s="10">
        <f>G1112/F1112</f>
        <v>0</v>
      </c>
      <c r="M1112" s="14">
        <f>IFERROR(ROUND(I1112/G1112,2),0)</f>
        <v>0</v>
      </c>
      <c r="N1112" s="11">
        <f>IFERROR(H1112/G1112,0)</f>
        <v>0</v>
      </c>
      <c r="O1112" s="11">
        <f>IFERROR(H1112/I1112,0)</f>
        <v>0</v>
      </c>
      <c r="P1112" s="11">
        <f>IFERROR((J1112-H1112)/H1112,0)</f>
        <v>0</v>
      </c>
    </row>
    <row r="1113" spans="1:16">
      <c r="A1113">
        <v>1121798</v>
      </c>
      <c r="B1113" t="s">
        <v>162</v>
      </c>
      <c r="C1113" t="s">
        <v>0</v>
      </c>
      <c r="D1113" t="s">
        <v>5</v>
      </c>
      <c r="E1113" s="14">
        <v>24</v>
      </c>
      <c r="F1113" s="14">
        <v>107548</v>
      </c>
      <c r="G1113" s="14">
        <v>19</v>
      </c>
      <c r="H1113" s="13">
        <v>29.310000179999999</v>
      </c>
      <c r="I1113" s="14">
        <v>0</v>
      </c>
      <c r="J1113" s="11">
        <f>I1113*85</f>
        <v>0</v>
      </c>
      <c r="K1113" s="11">
        <f>J1113-H1113</f>
        <v>-29.310000179999999</v>
      </c>
      <c r="L1113" s="10">
        <f>G1113/F1113</f>
        <v>1.7666530293450366E-4</v>
      </c>
      <c r="M1113" s="14">
        <f>IFERROR(ROUND(I1113/G1113,2),0)</f>
        <v>0</v>
      </c>
      <c r="N1113" s="11">
        <f>IFERROR(H1113/G1113,0)</f>
        <v>1.5426315884210526</v>
      </c>
      <c r="O1113" s="11">
        <f>IFERROR(H1113/I1113,0)</f>
        <v>0</v>
      </c>
      <c r="P1113" s="11">
        <f>IFERROR((J1113-H1113)/H1113,0)</f>
        <v>-1</v>
      </c>
    </row>
    <row r="1114" spans="1:16">
      <c r="A1114">
        <v>1121818</v>
      </c>
      <c r="B1114" t="s">
        <v>162</v>
      </c>
      <c r="C1114" t="s">
        <v>0</v>
      </c>
      <c r="D1114" t="s">
        <v>5</v>
      </c>
      <c r="E1114" s="14">
        <v>28</v>
      </c>
      <c r="F1114" s="14">
        <v>83270</v>
      </c>
      <c r="G1114" s="14">
        <v>13</v>
      </c>
      <c r="H1114" s="13">
        <v>17.740000009999999</v>
      </c>
      <c r="I1114" s="14">
        <v>0</v>
      </c>
      <c r="J1114" s="11">
        <f>I1114*85</f>
        <v>0</v>
      </c>
      <c r="K1114" s="11">
        <f>J1114-H1114</f>
        <v>-17.740000009999999</v>
      </c>
      <c r="L1114" s="10">
        <f>G1114/F1114</f>
        <v>1.5611865017413235E-4</v>
      </c>
      <c r="M1114" s="14">
        <f>IFERROR(ROUND(I1114/G1114,2),0)</f>
        <v>0</v>
      </c>
      <c r="N1114" s="11">
        <f>IFERROR(H1114/G1114,0)</f>
        <v>1.3646153853846152</v>
      </c>
      <c r="O1114" s="11">
        <f>IFERROR(H1114/I1114,0)</f>
        <v>0</v>
      </c>
      <c r="P1114" s="11">
        <f>IFERROR((J1114-H1114)/H1114,0)</f>
        <v>-1</v>
      </c>
    </row>
    <row r="1115" spans="1:16">
      <c r="A1115">
        <v>1121827</v>
      </c>
      <c r="B1115" t="s">
        <v>162</v>
      </c>
      <c r="C1115" t="s">
        <v>0</v>
      </c>
      <c r="D1115" t="s">
        <v>5</v>
      </c>
      <c r="E1115" s="14">
        <v>29</v>
      </c>
      <c r="F1115" s="14">
        <v>30155</v>
      </c>
      <c r="G1115" s="14">
        <v>3</v>
      </c>
      <c r="H1115" s="13">
        <v>3.8199999330000001</v>
      </c>
      <c r="I1115" s="14">
        <v>0</v>
      </c>
      <c r="J1115" s="11">
        <f>I1115*85</f>
        <v>0</v>
      </c>
      <c r="K1115" s="11">
        <f>J1115-H1115</f>
        <v>-3.8199999330000001</v>
      </c>
      <c r="L1115" s="10">
        <f>G1115/F1115</f>
        <v>9.9485989056541203E-5</v>
      </c>
      <c r="M1115" s="14">
        <f>IFERROR(ROUND(I1115/G1115,2),0)</f>
        <v>0</v>
      </c>
      <c r="N1115" s="11">
        <f>IFERROR(H1115/G1115,0)</f>
        <v>1.273333311</v>
      </c>
      <c r="O1115" s="11">
        <f>IFERROR(H1115/I1115,0)</f>
        <v>0</v>
      </c>
      <c r="P1115" s="11">
        <f>IFERROR((J1115-H1115)/H1115,0)</f>
        <v>-1</v>
      </c>
    </row>
    <row r="1116" spans="1:16">
      <c r="A1116">
        <v>1121829</v>
      </c>
      <c r="B1116" t="s">
        <v>162</v>
      </c>
      <c r="C1116" t="s">
        <v>0</v>
      </c>
      <c r="D1116" t="s">
        <v>5</v>
      </c>
      <c r="E1116" s="14">
        <v>30</v>
      </c>
      <c r="F1116" s="14">
        <v>187468</v>
      </c>
      <c r="G1116" s="14">
        <v>34</v>
      </c>
      <c r="H1116" s="13">
        <v>50.72000062</v>
      </c>
      <c r="I1116" s="14">
        <v>0</v>
      </c>
      <c r="J1116" s="11">
        <f>I1116*85</f>
        <v>0</v>
      </c>
      <c r="K1116" s="11">
        <f>J1116-H1116</f>
        <v>-50.72000062</v>
      </c>
      <c r="L1116" s="10">
        <f>G1116/F1116</f>
        <v>1.813642861715066E-4</v>
      </c>
      <c r="M1116" s="14">
        <f>IFERROR(ROUND(I1116/G1116,2),0)</f>
        <v>0</v>
      </c>
      <c r="N1116" s="11">
        <f>IFERROR(H1116/G1116,0)</f>
        <v>1.491764724117647</v>
      </c>
      <c r="O1116" s="11">
        <f>IFERROR(H1116/I1116,0)</f>
        <v>0</v>
      </c>
      <c r="P1116" s="11">
        <f>IFERROR((J1116-H1116)/H1116,0)</f>
        <v>-1</v>
      </c>
    </row>
    <row r="1117" spans="1:16">
      <c r="A1117">
        <v>1121832</v>
      </c>
      <c r="B1117" t="s">
        <v>162</v>
      </c>
      <c r="C1117" t="s">
        <v>0</v>
      </c>
      <c r="D1117" t="s">
        <v>5</v>
      </c>
      <c r="E1117" s="14">
        <v>30</v>
      </c>
      <c r="F1117" s="14">
        <v>208301</v>
      </c>
      <c r="G1117" s="14">
        <v>33</v>
      </c>
      <c r="H1117" s="13">
        <v>54.570000890000003</v>
      </c>
      <c r="I1117" s="14">
        <v>0</v>
      </c>
      <c r="J1117" s="11">
        <f>I1117*85</f>
        <v>0</v>
      </c>
      <c r="K1117" s="11">
        <f>J1117-H1117</f>
        <v>-54.570000890000003</v>
      </c>
      <c r="L1117" s="10">
        <f>G1117/F1117</f>
        <v>1.5842458749597938E-4</v>
      </c>
      <c r="M1117" s="14">
        <f>IFERROR(ROUND(I1117/G1117,2),0)</f>
        <v>0</v>
      </c>
      <c r="N1117" s="11">
        <f>IFERROR(H1117/G1117,0)</f>
        <v>1.6536363906060607</v>
      </c>
      <c r="O1117" s="11">
        <f>IFERROR(H1117/I1117,0)</f>
        <v>0</v>
      </c>
      <c r="P1117" s="11">
        <f>IFERROR((J1117-H1117)/H1117,0)</f>
        <v>-1</v>
      </c>
    </row>
    <row r="1118" spans="1:16">
      <c r="A1118">
        <v>1121844</v>
      </c>
      <c r="B1118" t="s">
        <v>162</v>
      </c>
      <c r="C1118" t="s">
        <v>0</v>
      </c>
      <c r="D1118" t="s">
        <v>5</v>
      </c>
      <c r="E1118" s="14">
        <v>32</v>
      </c>
      <c r="F1118" s="14">
        <v>149808</v>
      </c>
      <c r="G1118" s="14">
        <v>20</v>
      </c>
      <c r="H1118" s="13">
        <v>33.039999369999997</v>
      </c>
      <c r="I1118" s="14">
        <v>0</v>
      </c>
      <c r="J1118" s="11">
        <f>I1118*85</f>
        <v>0</v>
      </c>
      <c r="K1118" s="11">
        <f>J1118-H1118</f>
        <v>-33.039999369999997</v>
      </c>
      <c r="L1118" s="10">
        <f>G1118/F1118</f>
        <v>1.3350421873331198E-4</v>
      </c>
      <c r="M1118" s="14">
        <f>IFERROR(ROUND(I1118/G1118,2),0)</f>
        <v>0</v>
      </c>
      <c r="N1118" s="11">
        <f>IFERROR(H1118/G1118,0)</f>
        <v>1.6519999684999997</v>
      </c>
      <c r="O1118" s="11">
        <f>IFERROR(H1118/I1118,0)</f>
        <v>0</v>
      </c>
      <c r="P1118" s="11">
        <f>IFERROR((J1118-H1118)/H1118,0)</f>
        <v>-1</v>
      </c>
    </row>
    <row r="1119" spans="1:16">
      <c r="A1119">
        <v>1121846</v>
      </c>
      <c r="B1119" t="s">
        <v>162</v>
      </c>
      <c r="C1119" t="s">
        <v>0</v>
      </c>
      <c r="D1119" t="s">
        <v>5</v>
      </c>
      <c r="E1119" s="14">
        <v>32</v>
      </c>
      <c r="F1119" s="14">
        <v>8350</v>
      </c>
      <c r="G1119" s="14">
        <v>0</v>
      </c>
      <c r="H1119" s="13">
        <v>0</v>
      </c>
      <c r="I1119" s="14">
        <v>0</v>
      </c>
      <c r="J1119" s="11">
        <f>I1119*85</f>
        <v>0</v>
      </c>
      <c r="K1119" s="11">
        <f>J1119-H1119</f>
        <v>0</v>
      </c>
      <c r="L1119" s="10">
        <f>G1119/F1119</f>
        <v>0</v>
      </c>
      <c r="M1119" s="14">
        <f>IFERROR(ROUND(I1119/G1119,2),0)</f>
        <v>0</v>
      </c>
      <c r="N1119" s="11">
        <f>IFERROR(H1119/G1119,0)</f>
        <v>0</v>
      </c>
      <c r="O1119" s="11">
        <f>IFERROR(H1119/I1119,0)</f>
        <v>0</v>
      </c>
      <c r="P1119" s="11">
        <f>IFERROR((J1119-H1119)/H1119,0)</f>
        <v>0</v>
      </c>
    </row>
    <row r="1120" spans="1:16">
      <c r="A1120">
        <v>1121854</v>
      </c>
      <c r="B1120" t="s">
        <v>162</v>
      </c>
      <c r="C1120" t="s">
        <v>0</v>
      </c>
      <c r="D1120" t="s">
        <v>5</v>
      </c>
      <c r="E1120" s="14">
        <v>63</v>
      </c>
      <c r="F1120" s="14">
        <v>8587</v>
      </c>
      <c r="G1120" s="14">
        <v>0</v>
      </c>
      <c r="H1120" s="13">
        <v>0</v>
      </c>
      <c r="I1120" s="14">
        <v>0</v>
      </c>
      <c r="J1120" s="11">
        <f>I1120*85</f>
        <v>0</v>
      </c>
      <c r="K1120" s="11">
        <f>J1120-H1120</f>
        <v>0</v>
      </c>
      <c r="L1120" s="10">
        <f>G1120/F1120</f>
        <v>0</v>
      </c>
      <c r="M1120" s="14">
        <f>IFERROR(ROUND(I1120/G1120,2),0)</f>
        <v>0</v>
      </c>
      <c r="N1120" s="11">
        <f>IFERROR(H1120/G1120,0)</f>
        <v>0</v>
      </c>
      <c r="O1120" s="11">
        <f>IFERROR(H1120/I1120,0)</f>
        <v>0</v>
      </c>
      <c r="P1120" s="11">
        <f>IFERROR((J1120-H1120)/H1120,0)</f>
        <v>0</v>
      </c>
    </row>
    <row r="1121" spans="1:16">
      <c r="A1121">
        <v>1121873</v>
      </c>
      <c r="B1121" t="s">
        <v>162</v>
      </c>
      <c r="C1121" t="s">
        <v>0</v>
      </c>
      <c r="D1121" t="s">
        <v>5</v>
      </c>
      <c r="E1121" s="14">
        <v>2</v>
      </c>
      <c r="F1121" s="14">
        <v>5264</v>
      </c>
      <c r="G1121" s="14">
        <v>0</v>
      </c>
      <c r="H1121" s="13">
        <v>0</v>
      </c>
      <c r="I1121" s="14">
        <v>0</v>
      </c>
      <c r="J1121" s="11">
        <f>I1121*85</f>
        <v>0</v>
      </c>
      <c r="K1121" s="11">
        <f>J1121-H1121</f>
        <v>0</v>
      </c>
      <c r="L1121" s="10">
        <f>G1121/F1121</f>
        <v>0</v>
      </c>
      <c r="M1121" s="14">
        <f>IFERROR(ROUND(I1121/G1121,2),0)</f>
        <v>0</v>
      </c>
      <c r="N1121" s="11">
        <f>IFERROR(H1121/G1121,0)</f>
        <v>0</v>
      </c>
      <c r="O1121" s="11">
        <f>IFERROR(H1121/I1121,0)</f>
        <v>0</v>
      </c>
      <c r="P1121" s="11">
        <f>IFERROR((J1121-H1121)/H1121,0)</f>
        <v>0</v>
      </c>
    </row>
    <row r="1122" spans="1:16">
      <c r="A1122">
        <v>1121928</v>
      </c>
      <c r="B1122" t="s">
        <v>162</v>
      </c>
      <c r="C1122" t="s">
        <v>2</v>
      </c>
      <c r="D1122" t="s">
        <v>5</v>
      </c>
      <c r="E1122" s="14">
        <v>21</v>
      </c>
      <c r="F1122" s="14">
        <v>39146</v>
      </c>
      <c r="G1122" s="14">
        <v>8</v>
      </c>
      <c r="H1122" s="13">
        <v>13.05999959</v>
      </c>
      <c r="I1122" s="14">
        <v>0</v>
      </c>
      <c r="J1122" s="11">
        <f>I1122*85</f>
        <v>0</v>
      </c>
      <c r="K1122" s="11">
        <f>J1122-H1122</f>
        <v>-13.05999959</v>
      </c>
      <c r="L1122" s="10">
        <f>G1122/F1122</f>
        <v>2.0436315332345579E-4</v>
      </c>
      <c r="M1122" s="14">
        <f>IFERROR(ROUND(I1122/G1122,2),0)</f>
        <v>0</v>
      </c>
      <c r="N1122" s="11">
        <f>IFERROR(H1122/G1122,0)</f>
        <v>1.63249994875</v>
      </c>
      <c r="O1122" s="11">
        <f>IFERROR(H1122/I1122,0)</f>
        <v>0</v>
      </c>
      <c r="P1122" s="11">
        <f>IFERROR((J1122-H1122)/H1122,0)</f>
        <v>-1</v>
      </c>
    </row>
    <row r="1123" spans="1:16">
      <c r="A1123">
        <v>1121936</v>
      </c>
      <c r="B1123" t="s">
        <v>162</v>
      </c>
      <c r="C1123" t="s">
        <v>2</v>
      </c>
      <c r="D1123" t="s">
        <v>5</v>
      </c>
      <c r="E1123" s="14">
        <v>22</v>
      </c>
      <c r="F1123" s="14">
        <v>93002</v>
      </c>
      <c r="G1123" s="14">
        <v>16</v>
      </c>
      <c r="H1123" s="13">
        <v>23.339999679999998</v>
      </c>
      <c r="I1123" s="14">
        <v>0</v>
      </c>
      <c r="J1123" s="11">
        <f>I1123*85</f>
        <v>0</v>
      </c>
      <c r="K1123" s="11">
        <f>J1123-H1123</f>
        <v>-23.339999679999998</v>
      </c>
      <c r="L1123" s="10">
        <f>G1123/F1123</f>
        <v>1.7203931098255953E-4</v>
      </c>
      <c r="M1123" s="14">
        <f>IFERROR(ROUND(I1123/G1123,2),0)</f>
        <v>0</v>
      </c>
      <c r="N1123" s="11">
        <f>IFERROR(H1123/G1123,0)</f>
        <v>1.4587499799999999</v>
      </c>
      <c r="O1123" s="11">
        <f>IFERROR(H1123/I1123,0)</f>
        <v>0</v>
      </c>
      <c r="P1123" s="11">
        <f>IFERROR((J1123-H1123)/H1123,0)</f>
        <v>-1</v>
      </c>
    </row>
    <row r="1124" spans="1:16">
      <c r="A1124">
        <v>1121956</v>
      </c>
      <c r="B1124" t="s">
        <v>162</v>
      </c>
      <c r="C1124" t="s">
        <v>2</v>
      </c>
      <c r="D1124" t="s">
        <v>5</v>
      </c>
      <c r="E1124" s="14">
        <v>26</v>
      </c>
      <c r="F1124" s="14">
        <v>227473</v>
      </c>
      <c r="G1124" s="14">
        <v>52</v>
      </c>
      <c r="H1124" s="13">
        <v>71.580000519999999</v>
      </c>
      <c r="I1124" s="14">
        <v>0</v>
      </c>
      <c r="J1124" s="11">
        <f>I1124*85</f>
        <v>0</v>
      </c>
      <c r="K1124" s="11">
        <f>J1124-H1124</f>
        <v>-71.580000519999999</v>
      </c>
      <c r="L1124" s="10">
        <f>G1124/F1124</f>
        <v>2.2859855894985338E-4</v>
      </c>
      <c r="M1124" s="14">
        <f>IFERROR(ROUND(I1124/G1124,2),0)</f>
        <v>0</v>
      </c>
      <c r="N1124" s="11">
        <f>IFERROR(H1124/G1124,0)</f>
        <v>1.3765384715384614</v>
      </c>
      <c r="O1124" s="11">
        <f>IFERROR(H1124/I1124,0)</f>
        <v>0</v>
      </c>
      <c r="P1124" s="11">
        <f>IFERROR((J1124-H1124)/H1124,0)</f>
        <v>-1</v>
      </c>
    </row>
    <row r="1125" spans="1:16">
      <c r="A1125">
        <v>1121994</v>
      </c>
      <c r="B1125" t="s">
        <v>162</v>
      </c>
      <c r="C1125" t="s">
        <v>2</v>
      </c>
      <c r="D1125" t="s">
        <v>5</v>
      </c>
      <c r="E1125" s="14">
        <v>32</v>
      </c>
      <c r="F1125" s="14">
        <v>222378</v>
      </c>
      <c r="G1125" s="14">
        <v>50</v>
      </c>
      <c r="H1125" s="13">
        <v>72.910001039999997</v>
      </c>
      <c r="I1125" s="14">
        <v>0</v>
      </c>
      <c r="J1125" s="11">
        <f>I1125*85</f>
        <v>0</v>
      </c>
      <c r="K1125" s="11">
        <f>J1125-H1125</f>
        <v>-72.910001039999997</v>
      </c>
      <c r="L1125" s="10">
        <f>G1125/F1125</f>
        <v>2.2484238548777308E-4</v>
      </c>
      <c r="M1125" s="14">
        <f>IFERROR(ROUND(I1125/G1125,2),0)</f>
        <v>0</v>
      </c>
      <c r="N1125" s="11">
        <f>IFERROR(H1125/G1125,0)</f>
        <v>1.4582000207999999</v>
      </c>
      <c r="O1125" s="11">
        <f>IFERROR(H1125/I1125,0)</f>
        <v>0</v>
      </c>
      <c r="P1125" s="11">
        <f>IFERROR((J1125-H1125)/H1125,0)</f>
        <v>-1</v>
      </c>
    </row>
    <row r="1126" spans="1:16">
      <c r="A1126">
        <v>1122006</v>
      </c>
      <c r="B1126" t="s">
        <v>162</v>
      </c>
      <c r="C1126" t="s">
        <v>2</v>
      </c>
      <c r="D1126" t="s">
        <v>5</v>
      </c>
      <c r="E1126" s="14">
        <v>63</v>
      </c>
      <c r="F1126" s="14">
        <v>318157</v>
      </c>
      <c r="G1126" s="14">
        <v>56</v>
      </c>
      <c r="H1126" s="13">
        <v>85.700001959999994</v>
      </c>
      <c r="I1126" s="14">
        <v>0</v>
      </c>
      <c r="J1126" s="11">
        <f>I1126*85</f>
        <v>0</v>
      </c>
      <c r="K1126" s="11">
        <f>J1126-H1126</f>
        <v>-85.700001959999994</v>
      </c>
      <c r="L1126" s="10">
        <f>G1126/F1126</f>
        <v>1.7601372907086752E-4</v>
      </c>
      <c r="M1126" s="14">
        <f>IFERROR(ROUND(I1126/G1126,2),0)</f>
        <v>0</v>
      </c>
      <c r="N1126" s="11">
        <f>IFERROR(H1126/G1126,0)</f>
        <v>1.5303571778571428</v>
      </c>
      <c r="O1126" s="11">
        <f>IFERROR(H1126/I1126,0)</f>
        <v>0</v>
      </c>
      <c r="P1126" s="11">
        <f>IFERROR((J1126-H1126)/H1126,0)</f>
        <v>-1</v>
      </c>
    </row>
    <row r="1127" spans="1:16">
      <c r="A1127">
        <v>1122022</v>
      </c>
      <c r="B1127" t="s">
        <v>162</v>
      </c>
      <c r="C1127" t="s">
        <v>2</v>
      </c>
      <c r="D1127" t="s">
        <v>5</v>
      </c>
      <c r="E1127" s="14">
        <v>2</v>
      </c>
      <c r="F1127" s="14">
        <v>20780</v>
      </c>
      <c r="G1127" s="14">
        <v>5</v>
      </c>
      <c r="H1127" s="13">
        <v>8.1899999379999997</v>
      </c>
      <c r="I1127" s="14">
        <v>0</v>
      </c>
      <c r="J1127" s="11">
        <f>I1127*85</f>
        <v>0</v>
      </c>
      <c r="K1127" s="11">
        <f>J1127-H1127</f>
        <v>-8.1899999379999997</v>
      </c>
      <c r="L1127" s="10">
        <f>G1127/F1127</f>
        <v>2.4061597690086623E-4</v>
      </c>
      <c r="M1127" s="14">
        <f>IFERROR(ROUND(I1127/G1127,2),0)</f>
        <v>0</v>
      </c>
      <c r="N1127" s="11">
        <f>IFERROR(H1127/G1127,0)</f>
        <v>1.6379999876</v>
      </c>
      <c r="O1127" s="11">
        <f>IFERROR(H1127/I1127,0)</f>
        <v>0</v>
      </c>
      <c r="P1127" s="11">
        <f>IFERROR((J1127-H1127)/H1127,0)</f>
        <v>-1</v>
      </c>
    </row>
    <row r="1128" spans="1:16">
      <c r="A1128">
        <v>1122058</v>
      </c>
      <c r="B1128" t="s">
        <v>162</v>
      </c>
      <c r="C1128" t="s">
        <v>3</v>
      </c>
      <c r="D1128" t="s">
        <v>5</v>
      </c>
      <c r="E1128" s="14">
        <v>18</v>
      </c>
      <c r="F1128" s="14">
        <v>22210</v>
      </c>
      <c r="G1128" s="14">
        <v>3</v>
      </c>
      <c r="H1128" s="13">
        <v>4.0500001909999996</v>
      </c>
      <c r="I1128" s="14">
        <v>0</v>
      </c>
      <c r="J1128" s="11">
        <f>I1128*85</f>
        <v>0</v>
      </c>
      <c r="K1128" s="11">
        <f>J1128-H1128</f>
        <v>-4.0500001909999996</v>
      </c>
      <c r="L1128" s="10">
        <f>G1128/F1128</f>
        <v>1.3507429085997299E-4</v>
      </c>
      <c r="M1128" s="14">
        <f>IFERROR(ROUND(I1128/G1128,2),0)</f>
        <v>0</v>
      </c>
      <c r="N1128" s="11">
        <f>IFERROR(H1128/G1128,0)</f>
        <v>1.3500000636666665</v>
      </c>
      <c r="O1128" s="11">
        <f>IFERROR(H1128/I1128,0)</f>
        <v>0</v>
      </c>
      <c r="P1128" s="11">
        <f>IFERROR((J1128-H1128)/H1128,0)</f>
        <v>-1</v>
      </c>
    </row>
    <row r="1129" spans="1:16">
      <c r="A1129">
        <v>1122078</v>
      </c>
      <c r="B1129" t="s">
        <v>162</v>
      </c>
      <c r="C1129" t="s">
        <v>3</v>
      </c>
      <c r="D1129" t="s">
        <v>5</v>
      </c>
      <c r="E1129" s="14">
        <v>21</v>
      </c>
      <c r="F1129" s="14">
        <v>190477</v>
      </c>
      <c r="G1129" s="14">
        <v>42</v>
      </c>
      <c r="H1129" s="13">
        <v>66.389999869999997</v>
      </c>
      <c r="I1129" s="14">
        <v>0</v>
      </c>
      <c r="J1129" s="11">
        <f>I1129*85</f>
        <v>0</v>
      </c>
      <c r="K1129" s="11">
        <f>J1129-H1129</f>
        <v>-66.389999869999997</v>
      </c>
      <c r="L1129" s="10">
        <f>G1129/F1129</f>
        <v>2.2049906287898276E-4</v>
      </c>
      <c r="M1129" s="14">
        <f>IFERROR(ROUND(I1129/G1129,2),0)</f>
        <v>0</v>
      </c>
      <c r="N1129" s="11">
        <f>IFERROR(H1129/G1129,0)</f>
        <v>1.5807142826190475</v>
      </c>
      <c r="O1129" s="11">
        <f>IFERROR(H1129/I1129,0)</f>
        <v>0</v>
      </c>
      <c r="P1129" s="11">
        <f>IFERROR((J1129-H1129)/H1129,0)</f>
        <v>-1</v>
      </c>
    </row>
    <row r="1130" spans="1:16">
      <c r="A1130">
        <v>1122085</v>
      </c>
      <c r="B1130" t="s">
        <v>162</v>
      </c>
      <c r="C1130" t="s">
        <v>3</v>
      </c>
      <c r="D1130" t="s">
        <v>5</v>
      </c>
      <c r="E1130" s="14">
        <v>22</v>
      </c>
      <c r="F1130" s="14">
        <v>65726</v>
      </c>
      <c r="G1130" s="14">
        <v>17</v>
      </c>
      <c r="H1130" s="13">
        <v>22.12000012</v>
      </c>
      <c r="I1130" s="14">
        <v>0</v>
      </c>
      <c r="J1130" s="11">
        <f>I1130*85</f>
        <v>0</v>
      </c>
      <c r="K1130" s="11">
        <f>J1130-H1130</f>
        <v>-22.12000012</v>
      </c>
      <c r="L1130" s="10">
        <f>G1130/F1130</f>
        <v>2.5864954508109426E-4</v>
      </c>
      <c r="M1130" s="14">
        <f>IFERROR(ROUND(I1130/G1130,2),0)</f>
        <v>0</v>
      </c>
      <c r="N1130" s="11">
        <f>IFERROR(H1130/G1130,0)</f>
        <v>1.3011764776470589</v>
      </c>
      <c r="O1130" s="11">
        <f>IFERROR(H1130/I1130,0)</f>
        <v>0</v>
      </c>
      <c r="P1130" s="11">
        <f>IFERROR((J1130-H1130)/H1130,0)</f>
        <v>-1</v>
      </c>
    </row>
    <row r="1131" spans="1:16">
      <c r="A1131">
        <v>1122089</v>
      </c>
      <c r="B1131" t="s">
        <v>162</v>
      </c>
      <c r="C1131" t="s">
        <v>3</v>
      </c>
      <c r="D1131" t="s">
        <v>5</v>
      </c>
      <c r="E1131" s="14">
        <v>23</v>
      </c>
      <c r="F1131" s="14">
        <v>195220</v>
      </c>
      <c r="G1131" s="14">
        <v>51</v>
      </c>
      <c r="H1131" s="13">
        <v>78.060000419999994</v>
      </c>
      <c r="I1131" s="14">
        <v>0</v>
      </c>
      <c r="J1131" s="11">
        <f>I1131*85</f>
        <v>0</v>
      </c>
      <c r="K1131" s="11">
        <f>J1131-H1131</f>
        <v>-78.060000419999994</v>
      </c>
      <c r="L1131" s="10">
        <f>G1131/F1131</f>
        <v>2.6124372502817333E-4</v>
      </c>
      <c r="M1131" s="14">
        <f>IFERROR(ROUND(I1131/G1131,2),0)</f>
        <v>0</v>
      </c>
      <c r="N1131" s="11">
        <f>IFERROR(H1131/G1131,0)</f>
        <v>1.5305882435294116</v>
      </c>
      <c r="O1131" s="11">
        <f>IFERROR(H1131/I1131,0)</f>
        <v>0</v>
      </c>
      <c r="P1131" s="11">
        <f>IFERROR((J1131-H1131)/H1131,0)</f>
        <v>-1</v>
      </c>
    </row>
    <row r="1132" spans="1:16">
      <c r="A1132">
        <v>1122092</v>
      </c>
      <c r="B1132" t="s">
        <v>162</v>
      </c>
      <c r="C1132" t="s">
        <v>3</v>
      </c>
      <c r="D1132" t="s">
        <v>5</v>
      </c>
      <c r="E1132" s="14">
        <v>23</v>
      </c>
      <c r="F1132" s="14">
        <v>107501</v>
      </c>
      <c r="G1132" s="14">
        <v>27</v>
      </c>
      <c r="H1132" s="13">
        <v>40.87999928</v>
      </c>
      <c r="I1132" s="14">
        <v>0</v>
      </c>
      <c r="J1132" s="11">
        <f>I1132*85</f>
        <v>0</v>
      </c>
      <c r="K1132" s="11">
        <f>J1132-H1132</f>
        <v>-40.87999928</v>
      </c>
      <c r="L1132" s="10">
        <f>G1132/F1132</f>
        <v>2.5116045432135517E-4</v>
      </c>
      <c r="M1132" s="14">
        <f>IFERROR(ROUND(I1132/G1132,2),0)</f>
        <v>0</v>
      </c>
      <c r="N1132" s="11">
        <f>IFERROR(H1132/G1132,0)</f>
        <v>1.5140740474074075</v>
      </c>
      <c r="O1132" s="11">
        <f>IFERROR(H1132/I1132,0)</f>
        <v>0</v>
      </c>
      <c r="P1132" s="11">
        <f>IFERROR((J1132-H1132)/H1132,0)</f>
        <v>-1</v>
      </c>
    </row>
    <row r="1133" spans="1:16">
      <c r="A1133">
        <v>1122177</v>
      </c>
      <c r="B1133" t="s">
        <v>162</v>
      </c>
      <c r="C1133" t="s">
        <v>3</v>
      </c>
      <c r="D1133" t="s">
        <v>5</v>
      </c>
      <c r="E1133" s="14">
        <v>7</v>
      </c>
      <c r="F1133" s="14">
        <v>47929</v>
      </c>
      <c r="G1133" s="14">
        <v>12</v>
      </c>
      <c r="H1133" s="13">
        <v>14.58999991</v>
      </c>
      <c r="I1133" s="14">
        <v>0</v>
      </c>
      <c r="J1133" s="11">
        <f>I1133*85</f>
        <v>0</v>
      </c>
      <c r="K1133" s="11">
        <f>J1133-H1133</f>
        <v>-14.58999991</v>
      </c>
      <c r="L1133" s="10">
        <f>G1133/F1133</f>
        <v>2.5037033946045191E-4</v>
      </c>
      <c r="M1133" s="14">
        <f>IFERROR(ROUND(I1133/G1133,2),0)</f>
        <v>0</v>
      </c>
      <c r="N1133" s="11">
        <f>IFERROR(H1133/G1133,0)</f>
        <v>1.2158333258333334</v>
      </c>
      <c r="O1133" s="11">
        <f>IFERROR(H1133/I1133,0)</f>
        <v>0</v>
      </c>
      <c r="P1133" s="11">
        <f>IFERROR((J1133-H1133)/H1133,0)</f>
        <v>-1</v>
      </c>
    </row>
    <row r="1134" spans="1:16">
      <c r="A1134">
        <v>1122209</v>
      </c>
      <c r="B1134" t="s">
        <v>162</v>
      </c>
      <c r="C1134" t="s">
        <v>4</v>
      </c>
      <c r="D1134" t="s">
        <v>5</v>
      </c>
      <c r="E1134" s="14">
        <v>18</v>
      </c>
      <c r="F1134" s="14">
        <v>890295</v>
      </c>
      <c r="G1134" s="14">
        <v>227</v>
      </c>
      <c r="H1134" s="13">
        <v>332.98999889999999</v>
      </c>
      <c r="I1134" s="14">
        <v>0</v>
      </c>
      <c r="J1134" s="11">
        <f>I1134*85</f>
        <v>0</v>
      </c>
      <c r="K1134" s="11">
        <f>J1134-H1134</f>
        <v>-332.98999889999999</v>
      </c>
      <c r="L1134" s="10">
        <f>G1134/F1134</f>
        <v>2.5497166669474726E-4</v>
      </c>
      <c r="M1134" s="14">
        <f>IFERROR(ROUND(I1134/G1134,2),0)</f>
        <v>0</v>
      </c>
      <c r="N1134" s="11">
        <f>IFERROR(H1134/G1134,0)</f>
        <v>1.4669162947136563</v>
      </c>
      <c r="O1134" s="11">
        <f>IFERROR(H1134/I1134,0)</f>
        <v>0</v>
      </c>
      <c r="P1134" s="11">
        <f>IFERROR((J1134-H1134)/H1134,0)</f>
        <v>-1</v>
      </c>
    </row>
    <row r="1135" spans="1:16">
      <c r="A1135">
        <v>1122211</v>
      </c>
      <c r="B1135" t="s">
        <v>162</v>
      </c>
      <c r="C1135" t="s">
        <v>4</v>
      </c>
      <c r="D1135" t="s">
        <v>5</v>
      </c>
      <c r="E1135" s="14">
        <v>18</v>
      </c>
      <c r="F1135" s="14">
        <v>317601</v>
      </c>
      <c r="G1135" s="14">
        <v>76</v>
      </c>
      <c r="H1135" s="13">
        <v>115.66000080000001</v>
      </c>
      <c r="I1135" s="14">
        <v>0</v>
      </c>
      <c r="J1135" s="11">
        <f>I1135*85</f>
        <v>0</v>
      </c>
      <c r="K1135" s="11">
        <f>J1135-H1135</f>
        <v>-115.66000080000001</v>
      </c>
      <c r="L1135" s="10">
        <f>G1135/F1135</f>
        <v>2.3929395688300731E-4</v>
      </c>
      <c r="M1135" s="14">
        <f>IFERROR(ROUND(I1135/G1135,2),0)</f>
        <v>0</v>
      </c>
      <c r="N1135" s="11">
        <f>IFERROR(H1135/G1135,0)</f>
        <v>1.5218421157894737</v>
      </c>
      <c r="O1135" s="11">
        <f>IFERROR(H1135/I1135,0)</f>
        <v>0</v>
      </c>
      <c r="P1135" s="11">
        <f>IFERROR((J1135-H1135)/H1135,0)</f>
        <v>-1</v>
      </c>
    </row>
    <row r="1136" spans="1:16">
      <c r="A1136">
        <v>1122233</v>
      </c>
      <c r="B1136" t="s">
        <v>162</v>
      </c>
      <c r="C1136" t="s">
        <v>4</v>
      </c>
      <c r="D1136" t="s">
        <v>5</v>
      </c>
      <c r="E1136" s="14">
        <v>22</v>
      </c>
      <c r="F1136" s="14">
        <v>436943</v>
      </c>
      <c r="G1136" s="14">
        <v>109</v>
      </c>
      <c r="H1136" s="13">
        <v>145.81999740000001</v>
      </c>
      <c r="I1136" s="14">
        <v>0</v>
      </c>
      <c r="J1136" s="11">
        <f>I1136*85</f>
        <v>0</v>
      </c>
      <c r="K1136" s="11">
        <f>J1136-H1136</f>
        <v>-145.81999740000001</v>
      </c>
      <c r="L1136" s="10">
        <f>G1136/F1136</f>
        <v>2.4946045594047734E-4</v>
      </c>
      <c r="M1136" s="14">
        <f>IFERROR(ROUND(I1136/G1136,2),0)</f>
        <v>0</v>
      </c>
      <c r="N1136" s="11">
        <f>IFERROR(H1136/G1136,0)</f>
        <v>1.3377981412844038</v>
      </c>
      <c r="O1136" s="11">
        <f>IFERROR(H1136/I1136,0)</f>
        <v>0</v>
      </c>
      <c r="P1136" s="11">
        <f>IFERROR((J1136-H1136)/H1136,0)</f>
        <v>-1</v>
      </c>
    </row>
    <row r="1137" spans="1:16">
      <c r="A1137">
        <v>1122254</v>
      </c>
      <c r="B1137" t="s">
        <v>162</v>
      </c>
      <c r="C1137" t="s">
        <v>4</v>
      </c>
      <c r="D1137" t="s">
        <v>5</v>
      </c>
      <c r="E1137" s="14">
        <v>25</v>
      </c>
      <c r="F1137" s="14">
        <v>282899</v>
      </c>
      <c r="G1137" s="14">
        <v>71</v>
      </c>
      <c r="H1137" s="13">
        <v>105.6600007</v>
      </c>
      <c r="I1137" s="14">
        <v>0</v>
      </c>
      <c r="J1137" s="11">
        <f>I1137*85</f>
        <v>0</v>
      </c>
      <c r="K1137" s="11">
        <f>J1137-H1137</f>
        <v>-105.6600007</v>
      </c>
      <c r="L1137" s="10">
        <f>G1137/F1137</f>
        <v>2.5097296208187372E-4</v>
      </c>
      <c r="M1137" s="14">
        <f>IFERROR(ROUND(I1137/G1137,2),0)</f>
        <v>0</v>
      </c>
      <c r="N1137" s="11">
        <f>IFERROR(H1137/G1137,0)</f>
        <v>1.488169023943662</v>
      </c>
      <c r="O1137" s="11">
        <f>IFERROR(H1137/I1137,0)</f>
        <v>0</v>
      </c>
      <c r="P1137" s="11">
        <f>IFERROR((J1137-H1137)/H1137,0)</f>
        <v>-1</v>
      </c>
    </row>
    <row r="1138" spans="1:16">
      <c r="A1138">
        <v>1122258</v>
      </c>
      <c r="B1138" t="s">
        <v>162</v>
      </c>
      <c r="C1138" t="s">
        <v>4</v>
      </c>
      <c r="D1138" t="s">
        <v>5</v>
      </c>
      <c r="E1138" s="14">
        <v>26</v>
      </c>
      <c r="F1138" s="14">
        <v>108655</v>
      </c>
      <c r="G1138" s="14">
        <v>28</v>
      </c>
      <c r="H1138" s="13">
        <v>46.920001859999999</v>
      </c>
      <c r="I1138" s="14">
        <v>0</v>
      </c>
      <c r="J1138" s="11">
        <f>I1138*85</f>
        <v>0</v>
      </c>
      <c r="K1138" s="11">
        <f>J1138-H1138</f>
        <v>-46.920001859999999</v>
      </c>
      <c r="L1138" s="10">
        <f>G1138/F1138</f>
        <v>2.5769637844553865E-4</v>
      </c>
      <c r="M1138" s="14">
        <f>IFERROR(ROUND(I1138/G1138,2),0)</f>
        <v>0</v>
      </c>
      <c r="N1138" s="11">
        <f>IFERROR(H1138/G1138,0)</f>
        <v>1.675714352142857</v>
      </c>
      <c r="O1138" s="11">
        <f>IFERROR(H1138/I1138,0)</f>
        <v>0</v>
      </c>
      <c r="P1138" s="11">
        <f>IFERROR((J1138-H1138)/H1138,0)</f>
        <v>-1</v>
      </c>
    </row>
    <row r="1139" spans="1:16">
      <c r="A1139">
        <v>1122268</v>
      </c>
      <c r="B1139" t="s">
        <v>162</v>
      </c>
      <c r="C1139" t="s">
        <v>4</v>
      </c>
      <c r="D1139" t="s">
        <v>5</v>
      </c>
      <c r="E1139" s="14">
        <v>28</v>
      </c>
      <c r="F1139" s="14">
        <v>202231</v>
      </c>
      <c r="G1139" s="14">
        <v>53</v>
      </c>
      <c r="H1139" s="13">
        <v>67.130001070000006</v>
      </c>
      <c r="I1139" s="14">
        <v>0</v>
      </c>
      <c r="J1139" s="11">
        <f>I1139*85</f>
        <v>0</v>
      </c>
      <c r="K1139" s="11">
        <f>J1139-H1139</f>
        <v>-67.130001070000006</v>
      </c>
      <c r="L1139" s="10">
        <f>G1139/F1139</f>
        <v>2.6207653623826221E-4</v>
      </c>
      <c r="M1139" s="14">
        <f>IFERROR(ROUND(I1139/G1139,2),0)</f>
        <v>0</v>
      </c>
      <c r="N1139" s="11">
        <f>IFERROR(H1139/G1139,0)</f>
        <v>1.266603793773585</v>
      </c>
      <c r="O1139" s="11">
        <f>IFERROR(H1139/I1139,0)</f>
        <v>0</v>
      </c>
      <c r="P1139" s="11">
        <f>IFERROR((J1139-H1139)/H1139,0)</f>
        <v>-1</v>
      </c>
    </row>
    <row r="1140" spans="1:16">
      <c r="A1140">
        <v>1122274</v>
      </c>
      <c r="B1140" t="s">
        <v>162</v>
      </c>
      <c r="C1140" t="s">
        <v>4</v>
      </c>
      <c r="D1140" t="s">
        <v>5</v>
      </c>
      <c r="E1140" s="14">
        <v>29</v>
      </c>
      <c r="F1140" s="14">
        <v>526923</v>
      </c>
      <c r="G1140" s="14">
        <v>138</v>
      </c>
      <c r="H1140" s="13">
        <v>198.0899972</v>
      </c>
      <c r="I1140" s="14">
        <v>0</v>
      </c>
      <c r="J1140" s="11">
        <f>I1140*85</f>
        <v>0</v>
      </c>
      <c r="K1140" s="11">
        <f>J1140-H1140</f>
        <v>-198.0899972</v>
      </c>
      <c r="L1140" s="10">
        <f>G1140/F1140</f>
        <v>2.6189784845224062E-4</v>
      </c>
      <c r="M1140" s="14">
        <f>IFERROR(ROUND(I1140/G1140,2),0)</f>
        <v>0</v>
      </c>
      <c r="N1140" s="11">
        <f>IFERROR(H1140/G1140,0)</f>
        <v>1.4354347623188406</v>
      </c>
      <c r="O1140" s="11">
        <f>IFERROR(H1140/I1140,0)</f>
        <v>0</v>
      </c>
      <c r="P1140" s="11">
        <f>IFERROR((J1140-H1140)/H1140,0)</f>
        <v>-1</v>
      </c>
    </row>
    <row r="1141" spans="1:16">
      <c r="A1141">
        <v>1314371</v>
      </c>
      <c r="B1141" t="s">
        <v>162</v>
      </c>
      <c r="C1141" t="s">
        <v>2</v>
      </c>
      <c r="D1141" t="s">
        <v>5</v>
      </c>
      <c r="E1141" s="14">
        <v>100</v>
      </c>
      <c r="F1141" s="14">
        <v>72982</v>
      </c>
      <c r="G1141" s="14">
        <v>11</v>
      </c>
      <c r="H1141" s="13">
        <v>15.04999995</v>
      </c>
      <c r="I1141" s="14">
        <v>0</v>
      </c>
      <c r="J1141" s="11">
        <f>I1141*85</f>
        <v>0</v>
      </c>
      <c r="K1141" s="11">
        <f>J1141-H1141</f>
        <v>-15.04999995</v>
      </c>
      <c r="L1141" s="10">
        <f>G1141/F1141</f>
        <v>1.5072209585925296E-4</v>
      </c>
      <c r="M1141" s="14">
        <f>IFERROR(ROUND(I1141/G1141,2),0)</f>
        <v>0</v>
      </c>
      <c r="N1141" s="11">
        <f>IFERROR(H1141/G1141,0)</f>
        <v>1.3681818136363637</v>
      </c>
      <c r="O1141" s="11">
        <f>IFERROR(H1141/I1141,0)</f>
        <v>0</v>
      </c>
      <c r="P1141" s="11">
        <f>IFERROR((J1141-H1141)/H1141,0)</f>
        <v>-1</v>
      </c>
    </row>
    <row r="1142" spans="1:16">
      <c r="A1142">
        <v>1314397</v>
      </c>
      <c r="B1142" t="s">
        <v>162</v>
      </c>
      <c r="C1142" t="s">
        <v>3</v>
      </c>
      <c r="D1142" t="s">
        <v>5</v>
      </c>
      <c r="E1142" s="14">
        <v>111</v>
      </c>
      <c r="F1142" s="14">
        <v>402975</v>
      </c>
      <c r="G1142" s="14">
        <v>83</v>
      </c>
      <c r="H1142" s="13">
        <v>120.8999977</v>
      </c>
      <c r="I1142" s="14">
        <v>0</v>
      </c>
      <c r="J1142" s="11">
        <f>I1142*85</f>
        <v>0</v>
      </c>
      <c r="K1142" s="11">
        <f>J1142-H1142</f>
        <v>-120.8999977</v>
      </c>
      <c r="L1142" s="10">
        <f>G1142/F1142</f>
        <v>2.059681121657671E-4</v>
      </c>
      <c r="M1142" s="14">
        <f>IFERROR(ROUND(I1142/G1142,2),0)</f>
        <v>0</v>
      </c>
      <c r="N1142" s="11">
        <f>IFERROR(H1142/G1142,0)</f>
        <v>1.456626478313253</v>
      </c>
      <c r="O1142" s="11">
        <f>IFERROR(H1142/I1142,0)</f>
        <v>0</v>
      </c>
      <c r="P1142" s="11">
        <f>IFERROR((J1142-H1142)/H1142,0)</f>
        <v>-1</v>
      </c>
    </row>
    <row r="1143" spans="1:16">
      <c r="A1143">
        <v>1314404</v>
      </c>
      <c r="B1143" t="s">
        <v>162</v>
      </c>
      <c r="C1143" t="s">
        <v>4</v>
      </c>
      <c r="D1143" t="s">
        <v>5</v>
      </c>
      <c r="E1143" s="14">
        <v>103</v>
      </c>
      <c r="F1143" s="14">
        <v>71982</v>
      </c>
      <c r="G1143" s="14">
        <v>11</v>
      </c>
      <c r="H1143" s="13">
        <v>16.340000509999999</v>
      </c>
      <c r="I1143" s="14">
        <v>0</v>
      </c>
      <c r="J1143" s="11">
        <f>I1143*85</f>
        <v>0</v>
      </c>
      <c r="K1143" s="11">
        <f>J1143-H1143</f>
        <v>-16.340000509999999</v>
      </c>
      <c r="L1143" s="10">
        <f>G1143/F1143</f>
        <v>1.5281598177322109E-4</v>
      </c>
      <c r="M1143" s="14">
        <f>IFERROR(ROUND(I1143/G1143,2),0)</f>
        <v>0</v>
      </c>
      <c r="N1143" s="11">
        <f>IFERROR(H1143/G1143,0)</f>
        <v>1.4854545918181818</v>
      </c>
      <c r="O1143" s="11">
        <f>IFERROR(H1143/I1143,0)</f>
        <v>0</v>
      </c>
      <c r="P1143" s="11">
        <f>IFERROR((J1143-H1143)/H1143,0)</f>
        <v>-1</v>
      </c>
    </row>
    <row r="1144" spans="1:16">
      <c r="A1144">
        <v>1314407</v>
      </c>
      <c r="B1144" t="s">
        <v>162</v>
      </c>
      <c r="C1144" t="s">
        <v>4</v>
      </c>
      <c r="D1144" t="s">
        <v>5</v>
      </c>
      <c r="E1144" s="14">
        <v>106</v>
      </c>
      <c r="F1144" s="14">
        <v>107100</v>
      </c>
      <c r="G1144" s="14">
        <v>23</v>
      </c>
      <c r="H1144" s="13">
        <v>33.71000051</v>
      </c>
      <c r="I1144" s="14">
        <v>0</v>
      </c>
      <c r="J1144" s="11">
        <f>I1144*85</f>
        <v>0</v>
      </c>
      <c r="K1144" s="11">
        <f>J1144-H1144</f>
        <v>-33.71000051</v>
      </c>
      <c r="L1144" s="10">
        <f>G1144/F1144</f>
        <v>2.1475256769374417E-4</v>
      </c>
      <c r="M1144" s="14">
        <f>IFERROR(ROUND(I1144/G1144,2),0)</f>
        <v>0</v>
      </c>
      <c r="N1144" s="11">
        <f>IFERROR(H1144/G1144,0)</f>
        <v>1.4656521960869566</v>
      </c>
      <c r="O1144" s="11">
        <f>IFERROR(H1144/I1144,0)</f>
        <v>0</v>
      </c>
      <c r="P1144" s="11">
        <f>IFERROR((J1144-H1144)/H1144,0)</f>
        <v>-1</v>
      </c>
    </row>
  </sheetData>
  <sortState xmlns:xlrd2="http://schemas.microsoft.com/office/spreadsheetml/2017/richdata2" ref="A2:P1144">
    <sortCondition descending="1" ref="I2:I1144"/>
  </sortState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2" sqref="B2"/>
    </sheetView>
  </sheetViews>
  <sheetFormatPr defaultColWidth="11" defaultRowHeight="15.75"/>
  <cols>
    <col min="1" max="1" width="28" bestFit="1" customWidth="1"/>
    <col min="2" max="2" width="31.875" customWidth="1"/>
  </cols>
  <sheetData>
    <row r="1" spans="1:2" ht="21">
      <c r="A1" s="1" t="s">
        <v>7</v>
      </c>
      <c r="B1" s="1" t="s">
        <v>11</v>
      </c>
    </row>
    <row r="2" spans="1:2">
      <c r="A2">
        <v>2</v>
      </c>
      <c r="B2" s="3" t="s">
        <v>12</v>
      </c>
    </row>
    <row r="3" spans="1:2">
      <c r="A3">
        <v>7</v>
      </c>
      <c r="B3" s="3"/>
    </row>
    <row r="4" spans="1:2">
      <c r="A4">
        <v>10</v>
      </c>
      <c r="B4" s="3"/>
    </row>
    <row r="5" spans="1:2">
      <c r="A5">
        <v>15</v>
      </c>
      <c r="B5" s="3"/>
    </row>
    <row r="6" spans="1:2">
      <c r="A6">
        <v>16</v>
      </c>
      <c r="B6" s="3" t="s">
        <v>30</v>
      </c>
    </row>
    <row r="7" spans="1:2">
      <c r="A7">
        <v>18</v>
      </c>
      <c r="B7" s="3"/>
    </row>
    <row r="8" spans="1:2">
      <c r="A8">
        <v>19</v>
      </c>
      <c r="B8" s="3"/>
    </row>
    <row r="9" spans="1:2">
      <c r="A9">
        <v>20</v>
      </c>
      <c r="B9" s="3"/>
    </row>
    <row r="10" spans="1:2">
      <c r="A10">
        <v>21</v>
      </c>
      <c r="B10" s="3" t="s">
        <v>72</v>
      </c>
    </row>
    <row r="11" spans="1:2">
      <c r="A11">
        <v>22</v>
      </c>
      <c r="B11" s="3"/>
    </row>
    <row r="12" spans="1:2">
      <c r="A12">
        <v>23</v>
      </c>
      <c r="B12" s="3"/>
    </row>
    <row r="13" spans="1:2">
      <c r="A13">
        <v>24</v>
      </c>
      <c r="B13" s="3"/>
    </row>
    <row r="14" spans="1:2">
      <c r="A14">
        <v>25</v>
      </c>
      <c r="B14" s="3" t="s">
        <v>74</v>
      </c>
    </row>
    <row r="15" spans="1:2">
      <c r="A15">
        <v>26</v>
      </c>
      <c r="B15" s="3"/>
    </row>
    <row r="16" spans="1:2">
      <c r="A16">
        <v>27</v>
      </c>
      <c r="B16" s="3"/>
    </row>
    <row r="17" spans="1:2">
      <c r="A17">
        <v>28</v>
      </c>
      <c r="B17" s="3"/>
    </row>
    <row r="18" spans="1:2">
      <c r="A18">
        <v>29</v>
      </c>
      <c r="B18" s="3" t="s">
        <v>78</v>
      </c>
    </row>
    <row r="19" spans="1:2">
      <c r="A19">
        <v>30</v>
      </c>
      <c r="B19" s="3"/>
    </row>
    <row r="20" spans="1:2">
      <c r="A20">
        <v>31</v>
      </c>
      <c r="B20" s="3"/>
    </row>
    <row r="21" spans="1:2">
      <c r="A21">
        <v>32</v>
      </c>
      <c r="B21" s="3"/>
    </row>
    <row r="22" spans="1:2">
      <c r="A22">
        <v>36</v>
      </c>
      <c r="B22" s="3" t="s">
        <v>98</v>
      </c>
    </row>
    <row r="23" spans="1:2">
      <c r="A23">
        <v>63</v>
      </c>
      <c r="B23" s="3"/>
    </row>
    <row r="24" spans="1:2">
      <c r="A24">
        <v>64</v>
      </c>
      <c r="B24" s="3"/>
    </row>
    <row r="25" spans="1:2">
      <c r="A25">
        <v>65</v>
      </c>
      <c r="B25" s="3"/>
    </row>
    <row r="26" spans="1:2">
      <c r="A26">
        <v>66</v>
      </c>
      <c r="B26" s="3" t="s">
        <v>125</v>
      </c>
    </row>
    <row r="27" spans="1:2">
      <c r="A27">
        <v>100</v>
      </c>
      <c r="B27" s="3"/>
    </row>
    <row r="28" spans="1:2">
      <c r="A28">
        <v>101</v>
      </c>
      <c r="B28" s="3"/>
    </row>
    <row r="29" spans="1:2">
      <c r="A29">
        <v>102</v>
      </c>
      <c r="B29" s="3"/>
    </row>
    <row r="30" spans="1:2">
      <c r="A30">
        <v>103</v>
      </c>
      <c r="B30" s="3" t="s">
        <v>137</v>
      </c>
    </row>
    <row r="31" spans="1:2">
      <c r="A31">
        <v>104</v>
      </c>
      <c r="B31" s="3"/>
    </row>
    <row r="32" spans="1:2">
      <c r="A32">
        <v>105</v>
      </c>
      <c r="B32" s="3"/>
    </row>
    <row r="33" spans="1:2">
      <c r="A33">
        <v>106</v>
      </c>
      <c r="B33" s="3"/>
    </row>
    <row r="34" spans="1:2">
      <c r="A34">
        <v>107</v>
      </c>
      <c r="B34" s="3" t="s">
        <v>142</v>
      </c>
    </row>
    <row r="35" spans="1:2">
      <c r="A35">
        <v>108</v>
      </c>
    </row>
    <row r="36" spans="1:2">
      <c r="A36">
        <v>109</v>
      </c>
    </row>
    <row r="37" spans="1:2">
      <c r="A37">
        <v>110</v>
      </c>
    </row>
    <row r="38" spans="1:2">
      <c r="A38">
        <v>111</v>
      </c>
    </row>
    <row r="39" spans="1:2">
      <c r="A39">
        <v>112</v>
      </c>
    </row>
    <row r="40" spans="1:2">
      <c r="A40">
        <v>113</v>
      </c>
    </row>
    <row r="41" spans="1:2">
      <c r="A41">
        <v>114</v>
      </c>
    </row>
  </sheetData>
  <sortState xmlns:xlrd2="http://schemas.microsoft.com/office/spreadsheetml/2017/richdata2" ref="A2:A41">
    <sortCondition ref="A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2"/>
  <sheetViews>
    <sheetView topLeftCell="A21" workbookViewId="0">
      <selection activeCell="A13" sqref="A13"/>
    </sheetView>
  </sheetViews>
  <sheetFormatPr defaultColWidth="11" defaultRowHeight="15.75"/>
  <cols>
    <col min="1" max="1" width="147.5" bestFit="1" customWidth="1"/>
  </cols>
  <sheetData>
    <row r="1" spans="1:1">
      <c r="A1" s="3" t="s">
        <v>12</v>
      </c>
    </row>
    <row r="3" spans="1:1">
      <c r="A3" s="4" t="s">
        <v>13</v>
      </c>
    </row>
    <row r="5" spans="1:1">
      <c r="A5" s="4" t="s">
        <v>14</v>
      </c>
    </row>
    <row r="7" spans="1:1">
      <c r="A7" s="4" t="s">
        <v>15</v>
      </c>
    </row>
    <row r="9" spans="1:1">
      <c r="A9" s="4" t="s">
        <v>16</v>
      </c>
    </row>
    <row r="11" spans="1:1">
      <c r="A11" s="4" t="s">
        <v>17</v>
      </c>
    </row>
    <row r="13" spans="1:1">
      <c r="A13" s="4" t="s">
        <v>18</v>
      </c>
    </row>
    <row r="14" spans="1:1">
      <c r="A14" s="4" t="s">
        <v>19</v>
      </c>
    </row>
    <row r="16" spans="1:1">
      <c r="A16" s="4" t="s">
        <v>20</v>
      </c>
    </row>
    <row r="17" spans="1:1">
      <c r="A17" s="4" t="s">
        <v>21</v>
      </c>
    </row>
    <row r="18" spans="1:1">
      <c r="A18" s="4" t="s">
        <v>22</v>
      </c>
    </row>
    <row r="19" spans="1:1">
      <c r="A19" s="4" t="s">
        <v>23</v>
      </c>
    </row>
    <row r="21" spans="1:1">
      <c r="A21" s="4" t="s">
        <v>24</v>
      </c>
    </row>
    <row r="22" spans="1:1">
      <c r="A22" s="4" t="s">
        <v>25</v>
      </c>
    </row>
    <row r="24" spans="1:1">
      <c r="A24" s="4" t="s">
        <v>26</v>
      </c>
    </row>
    <row r="26" spans="1:1">
      <c r="A26" s="4" t="s">
        <v>27</v>
      </c>
    </row>
    <row r="28" spans="1:1">
      <c r="A28" s="4" t="s">
        <v>28</v>
      </c>
    </row>
    <row r="30" spans="1:1">
      <c r="A30" s="4" t="s">
        <v>29</v>
      </c>
    </row>
    <row r="32" spans="1:1">
      <c r="A32" s="3" t="s">
        <v>30</v>
      </c>
    </row>
    <row r="34" spans="1:1">
      <c r="A34" s="4" t="s">
        <v>31</v>
      </c>
    </row>
    <row r="35" spans="1:1">
      <c r="A35" s="4" t="s">
        <v>32</v>
      </c>
    </row>
    <row r="37" spans="1:1">
      <c r="A37" s="4" t="s">
        <v>33</v>
      </c>
    </row>
    <row r="38" spans="1:1">
      <c r="A38" s="4" t="s">
        <v>34</v>
      </c>
    </row>
    <row r="39" spans="1:1">
      <c r="A39" s="4" t="s">
        <v>35</v>
      </c>
    </row>
    <row r="40" spans="1:1">
      <c r="A40" s="4" t="s">
        <v>36</v>
      </c>
    </row>
    <row r="41" spans="1:1">
      <c r="A41" s="4" t="s">
        <v>37</v>
      </c>
    </row>
    <row r="43" spans="1:1">
      <c r="A43" s="4" t="s">
        <v>38</v>
      </c>
    </row>
    <row r="44" spans="1:1">
      <c r="A44" s="4" t="s">
        <v>39</v>
      </c>
    </row>
    <row r="45" spans="1:1">
      <c r="A45" s="4" t="s">
        <v>40</v>
      </c>
    </row>
    <row r="46" spans="1:1">
      <c r="A46" s="4" t="s">
        <v>41</v>
      </c>
    </row>
    <row r="47" spans="1:1">
      <c r="A47" s="4" t="s">
        <v>42</v>
      </c>
    </row>
    <row r="48" spans="1:1">
      <c r="A48" s="4" t="s">
        <v>43</v>
      </c>
    </row>
    <row r="49" spans="1:1">
      <c r="A49" s="4" t="s">
        <v>44</v>
      </c>
    </row>
    <row r="50" spans="1:1">
      <c r="A50" s="4" t="s">
        <v>45</v>
      </c>
    </row>
    <row r="51" spans="1:1">
      <c r="A51" s="4" t="s">
        <v>46</v>
      </c>
    </row>
    <row r="52" spans="1:1">
      <c r="A52" s="4" t="s">
        <v>47</v>
      </c>
    </row>
    <row r="53" spans="1:1">
      <c r="A53" s="4" t="s">
        <v>48</v>
      </c>
    </row>
    <row r="54" spans="1:1">
      <c r="A54" s="4" t="s">
        <v>49</v>
      </c>
    </row>
    <row r="56" spans="1:1">
      <c r="A56" s="4" t="s">
        <v>50</v>
      </c>
    </row>
    <row r="58" spans="1:1">
      <c r="A58" s="4" t="s">
        <v>51</v>
      </c>
    </row>
    <row r="59" spans="1:1">
      <c r="A59" s="4" t="s">
        <v>52</v>
      </c>
    </row>
    <row r="60" spans="1:1">
      <c r="A60" s="4" t="s">
        <v>53</v>
      </c>
    </row>
    <row r="61" spans="1:1">
      <c r="A61" s="4" t="s">
        <v>54</v>
      </c>
    </row>
    <row r="63" spans="1:1">
      <c r="A63" s="4" t="s">
        <v>55</v>
      </c>
    </row>
    <row r="64" spans="1:1">
      <c r="A64" s="4" t="s">
        <v>56</v>
      </c>
    </row>
    <row r="66" spans="1:1">
      <c r="A66" s="4" t="s">
        <v>57</v>
      </c>
    </row>
    <row r="68" spans="1:1">
      <c r="A68" s="4" t="s">
        <v>58</v>
      </c>
    </row>
    <row r="70" spans="1:1">
      <c r="A70" s="4" t="s">
        <v>59</v>
      </c>
    </row>
    <row r="72" spans="1:1">
      <c r="A72" s="4" t="s">
        <v>60</v>
      </c>
    </row>
    <row r="73" spans="1:1">
      <c r="A73" s="4" t="s">
        <v>61</v>
      </c>
    </row>
    <row r="74" spans="1:1">
      <c r="A74" s="4" t="s">
        <v>62</v>
      </c>
    </row>
    <row r="75" spans="1:1">
      <c r="A75" s="4" t="s">
        <v>63</v>
      </c>
    </row>
    <row r="77" spans="1:1">
      <c r="A77" s="4" t="s">
        <v>64</v>
      </c>
    </row>
    <row r="79" spans="1:1">
      <c r="A79" s="4" t="s">
        <v>65</v>
      </c>
    </row>
    <row r="80" spans="1:1">
      <c r="A80" s="4" t="s">
        <v>66</v>
      </c>
    </row>
    <row r="81" spans="1:1">
      <c r="A81" s="4" t="s">
        <v>67</v>
      </c>
    </row>
    <row r="82" spans="1:1">
      <c r="A82" s="4" t="s">
        <v>68</v>
      </c>
    </row>
    <row r="84" spans="1:1">
      <c r="A84" s="4" t="s">
        <v>69</v>
      </c>
    </row>
    <row r="85" spans="1:1">
      <c r="A85" s="4" t="s">
        <v>70</v>
      </c>
    </row>
    <row r="87" spans="1:1">
      <c r="A87" s="4" t="s">
        <v>71</v>
      </c>
    </row>
    <row r="89" spans="1:1">
      <c r="A89" s="3" t="s">
        <v>72</v>
      </c>
    </row>
    <row r="91" spans="1:1">
      <c r="A91" s="4" t="s">
        <v>73</v>
      </c>
    </row>
    <row r="93" spans="1:1">
      <c r="A93" s="3" t="s">
        <v>74</v>
      </c>
    </row>
    <row r="95" spans="1:1">
      <c r="A95" s="4" t="s">
        <v>75</v>
      </c>
    </row>
    <row r="97" spans="1:1">
      <c r="A97" s="4" t="s">
        <v>76</v>
      </c>
    </row>
    <row r="98" spans="1:1">
      <c r="A98" s="4" t="s">
        <v>77</v>
      </c>
    </row>
    <row r="100" spans="1:1">
      <c r="A100" s="3" t="s">
        <v>78</v>
      </c>
    </row>
    <row r="102" spans="1:1">
      <c r="A102" s="4" t="s">
        <v>79</v>
      </c>
    </row>
    <row r="104" spans="1:1">
      <c r="A104" s="4" t="s">
        <v>80</v>
      </c>
    </row>
    <row r="106" spans="1:1">
      <c r="A106" s="4" t="s">
        <v>81</v>
      </c>
    </row>
    <row r="108" spans="1:1">
      <c r="A108" s="4" t="s">
        <v>82</v>
      </c>
    </row>
    <row r="109" spans="1:1">
      <c r="A109" s="4" t="s">
        <v>83</v>
      </c>
    </row>
    <row r="111" spans="1:1">
      <c r="A111" s="4" t="s">
        <v>84</v>
      </c>
    </row>
    <row r="113" spans="1:1">
      <c r="A113" s="4" t="s">
        <v>85</v>
      </c>
    </row>
    <row r="115" spans="1:1">
      <c r="A115" s="4" t="s">
        <v>86</v>
      </c>
    </row>
    <row r="116" spans="1:1">
      <c r="A116" s="4" t="s">
        <v>87</v>
      </c>
    </row>
    <row r="117" spans="1:1">
      <c r="A117" s="4" t="s">
        <v>88</v>
      </c>
    </row>
    <row r="118" spans="1:1">
      <c r="A118" s="4" t="s">
        <v>89</v>
      </c>
    </row>
    <row r="119" spans="1:1">
      <c r="A119" s="4" t="s">
        <v>90</v>
      </c>
    </row>
    <row r="121" spans="1:1">
      <c r="A121" s="4" t="s">
        <v>91</v>
      </c>
    </row>
    <row r="123" spans="1:1">
      <c r="A123" s="4" t="s">
        <v>92</v>
      </c>
    </row>
    <row r="125" spans="1:1">
      <c r="A125" s="4" t="s">
        <v>93</v>
      </c>
    </row>
    <row r="126" spans="1:1">
      <c r="A126" s="4" t="s">
        <v>94</v>
      </c>
    </row>
    <row r="128" spans="1:1">
      <c r="A128" s="4" t="s">
        <v>95</v>
      </c>
    </row>
    <row r="130" spans="1:1">
      <c r="A130" s="4" t="s">
        <v>96</v>
      </c>
    </row>
    <row r="131" spans="1:1">
      <c r="A131" s="4" t="s">
        <v>97</v>
      </c>
    </row>
    <row r="133" spans="1:1">
      <c r="A133" s="3" t="s">
        <v>98</v>
      </c>
    </row>
    <row r="135" spans="1:1">
      <c r="A135" s="4" t="s">
        <v>99</v>
      </c>
    </row>
    <row r="137" spans="1:1">
      <c r="A137" s="4" t="s">
        <v>100</v>
      </c>
    </row>
    <row r="138" spans="1:1">
      <c r="A138" s="4" t="s">
        <v>101</v>
      </c>
    </row>
    <row r="139" spans="1:1">
      <c r="A139" s="4" t="s">
        <v>102</v>
      </c>
    </row>
    <row r="140" spans="1:1">
      <c r="A140" s="4" t="s">
        <v>103</v>
      </c>
    </row>
    <row r="142" spans="1:1">
      <c r="A142" s="4" t="s">
        <v>104</v>
      </c>
    </row>
    <row r="144" spans="1:1">
      <c r="A144" s="4" t="s">
        <v>105</v>
      </c>
    </row>
    <row r="145" spans="1:1">
      <c r="A145" s="4" t="s">
        <v>106</v>
      </c>
    </row>
    <row r="147" spans="1:1">
      <c r="A147" s="4" t="s">
        <v>107</v>
      </c>
    </row>
    <row r="148" spans="1:1">
      <c r="A148" s="4" t="s">
        <v>108</v>
      </c>
    </row>
    <row r="150" spans="1:1">
      <c r="A150" s="4" t="s">
        <v>109</v>
      </c>
    </row>
    <row r="151" spans="1:1">
      <c r="A151" s="4" t="s">
        <v>110</v>
      </c>
    </row>
    <row r="153" spans="1:1">
      <c r="A153" s="4" t="s">
        <v>111</v>
      </c>
    </row>
    <row r="155" spans="1:1">
      <c r="A155" s="4" t="s">
        <v>112</v>
      </c>
    </row>
    <row r="157" spans="1:1">
      <c r="A157" s="4" t="s">
        <v>113</v>
      </c>
    </row>
    <row r="158" spans="1:1">
      <c r="A158" s="4" t="s">
        <v>114</v>
      </c>
    </row>
    <row r="160" spans="1:1">
      <c r="A160" s="4" t="s">
        <v>115</v>
      </c>
    </row>
    <row r="162" spans="1:1">
      <c r="A162" s="4" t="s">
        <v>116</v>
      </c>
    </row>
    <row r="164" spans="1:1">
      <c r="A164" s="4" t="s">
        <v>117</v>
      </c>
    </row>
    <row r="166" spans="1:1">
      <c r="A166" s="4" t="s">
        <v>118</v>
      </c>
    </row>
    <row r="167" spans="1:1">
      <c r="A167" s="4" t="s">
        <v>119</v>
      </c>
    </row>
    <row r="169" spans="1:1">
      <c r="A169" s="4" t="s">
        <v>120</v>
      </c>
    </row>
    <row r="171" spans="1:1">
      <c r="A171" s="4" t="s">
        <v>121</v>
      </c>
    </row>
    <row r="173" spans="1:1">
      <c r="A173" s="4" t="s">
        <v>122</v>
      </c>
    </row>
    <row r="174" spans="1:1">
      <c r="A174" s="4" t="s">
        <v>123</v>
      </c>
    </row>
    <row r="175" spans="1:1">
      <c r="A175" s="4" t="s">
        <v>124</v>
      </c>
    </row>
    <row r="177" spans="1:1">
      <c r="A177" s="3" t="s">
        <v>125</v>
      </c>
    </row>
    <row r="179" spans="1:1">
      <c r="A179" s="4" t="s">
        <v>126</v>
      </c>
    </row>
    <row r="180" spans="1:1">
      <c r="A180" s="4" t="s">
        <v>127</v>
      </c>
    </row>
    <row r="182" spans="1:1">
      <c r="A182" s="4" t="s">
        <v>128</v>
      </c>
    </row>
    <row r="184" spans="1:1">
      <c r="A184" s="4" t="s">
        <v>129</v>
      </c>
    </row>
    <row r="186" spans="1:1">
      <c r="A186" s="4" t="s">
        <v>130</v>
      </c>
    </row>
    <row r="187" spans="1:1">
      <c r="A187" s="4" t="s">
        <v>131</v>
      </c>
    </row>
    <row r="189" spans="1:1">
      <c r="A189" s="4" t="s">
        <v>132</v>
      </c>
    </row>
    <row r="191" spans="1:1">
      <c r="A191" s="4" t="s">
        <v>133</v>
      </c>
    </row>
    <row r="193" spans="1:1">
      <c r="A193" s="4" t="s">
        <v>134</v>
      </c>
    </row>
    <row r="195" spans="1:1">
      <c r="A195" s="4" t="s">
        <v>135</v>
      </c>
    </row>
    <row r="197" spans="1:1">
      <c r="A197" s="4" t="s">
        <v>136</v>
      </c>
    </row>
    <row r="199" spans="1:1">
      <c r="A199" s="3" t="s">
        <v>137</v>
      </c>
    </row>
    <row r="201" spans="1:1">
      <c r="A201" s="4" t="s">
        <v>138</v>
      </c>
    </row>
    <row r="203" spans="1:1">
      <c r="A203" s="4" t="s">
        <v>139</v>
      </c>
    </row>
    <row r="205" spans="1:1">
      <c r="A205" s="4" t="s">
        <v>140</v>
      </c>
    </row>
    <row r="206" spans="1:1">
      <c r="A206" s="4" t="s">
        <v>141</v>
      </c>
    </row>
    <row r="208" spans="1:1">
      <c r="A208" s="3" t="s">
        <v>142</v>
      </c>
    </row>
    <row r="210" spans="1:1">
      <c r="A210" s="4" t="s">
        <v>143</v>
      </c>
    </row>
    <row r="211" spans="1:1">
      <c r="A211" s="4" t="s">
        <v>144</v>
      </c>
    </row>
    <row r="212" spans="1:1">
      <c r="A212" s="4" t="s">
        <v>145</v>
      </c>
    </row>
    <row r="214" spans="1:1">
      <c r="A214" s="4" t="s">
        <v>146</v>
      </c>
    </row>
    <row r="215" spans="1:1">
      <c r="A215" s="4" t="s">
        <v>147</v>
      </c>
    </row>
    <row r="217" spans="1:1">
      <c r="A217" s="4" t="s">
        <v>148</v>
      </c>
    </row>
    <row r="218" spans="1:1">
      <c r="A218" s="4" t="s">
        <v>149</v>
      </c>
    </row>
    <row r="220" spans="1:1">
      <c r="A220" s="4" t="s">
        <v>150</v>
      </c>
    </row>
    <row r="222" spans="1:1">
      <c r="A222" s="4" t="s">
        <v>151</v>
      </c>
    </row>
    <row r="223" spans="1:1">
      <c r="A223" s="4" t="s">
        <v>152</v>
      </c>
    </row>
    <row r="225" spans="1:1">
      <c r="A225" s="4" t="s">
        <v>153</v>
      </c>
    </row>
    <row r="227" spans="1:1">
      <c r="A227" s="4" t="s">
        <v>154</v>
      </c>
    </row>
    <row r="228" spans="1:1">
      <c r="A228" s="4" t="s">
        <v>155</v>
      </c>
    </row>
    <row r="229" spans="1:1">
      <c r="A229" s="4" t="s">
        <v>156</v>
      </c>
    </row>
    <row r="230" spans="1:1">
      <c r="A230" s="4" t="s">
        <v>157</v>
      </c>
    </row>
    <row r="231" spans="1:1">
      <c r="A231" s="4" t="s">
        <v>158</v>
      </c>
    </row>
    <row r="232" spans="1:1">
      <c r="A232" s="4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Metadados</vt:lpstr>
      <vt:lpstr>Planilha4</vt:lpstr>
      <vt:lpstr>dados_da_campanha</vt:lpstr>
      <vt:lpstr>depara_categoria</vt:lpstr>
      <vt:lpstr>Planilha8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rafael porfirio barros</cp:lastModifiedBy>
  <dcterms:created xsi:type="dcterms:W3CDTF">2019-09-15T19:47:38Z</dcterms:created>
  <dcterms:modified xsi:type="dcterms:W3CDTF">2025-12-30T04:16:48Z</dcterms:modified>
</cp:coreProperties>
</file>